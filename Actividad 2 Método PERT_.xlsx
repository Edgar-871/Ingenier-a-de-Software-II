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IDS\Documents\2_IDS Ingenieria de desarrollo de software\4º Cuatrimestre\3er_curso_Ingeniería_de_Software_II\4_Actividad 2\"/>
    </mc:Choice>
  </mc:AlternateContent>
  <xr:revisionPtr revIDLastSave="0" documentId="13_ncr:1_{1FF83175-C0C3-4560-B8D0-C3A6580BB919}" xr6:coauthVersionLast="37" xr6:coauthVersionMax="47" xr10:uidLastSave="{00000000-0000-0000-0000-000000000000}"/>
  <bookViews>
    <workbookView xWindow="0" yWindow="0" windowWidth="11475" windowHeight="8130" xr2:uid="{00000000-000D-0000-FFFF-FFFF00000000}"/>
  </bookViews>
  <sheets>
    <sheet name="Hoja2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9" i="2" l="1"/>
  <c r="O20" i="2"/>
  <c r="L2" i="2"/>
  <c r="L9" i="2"/>
  <c r="L7" i="2"/>
  <c r="L8" i="2"/>
  <c r="H16" i="2"/>
  <c r="H13" i="2"/>
  <c r="L6" i="2"/>
  <c r="L5" i="2"/>
  <c r="L4" i="2"/>
  <c r="H7" i="2"/>
  <c r="L3" i="2"/>
  <c r="O16" i="2" l="1"/>
  <c r="O15" i="2"/>
  <c r="O14" i="2"/>
  <c r="O13" i="2"/>
  <c r="H14" i="2" l="1"/>
  <c r="H15" i="2"/>
  <c r="O4" i="2" l="1"/>
  <c r="O3" i="2"/>
  <c r="H3" i="2"/>
  <c r="O5" i="2" l="1"/>
  <c r="O6" i="2"/>
  <c r="O7" i="2"/>
  <c r="O8" i="2"/>
  <c r="O9" i="2"/>
  <c r="O10" i="2"/>
  <c r="O11" i="2"/>
  <c r="O12" i="2"/>
  <c r="H4" i="2"/>
  <c r="H5" i="2"/>
  <c r="H6" i="2"/>
  <c r="H8" i="2"/>
  <c r="H9" i="2"/>
  <c r="H10" i="2"/>
  <c r="H11" i="2"/>
  <c r="H12" i="2"/>
  <c r="N24" i="2" l="1"/>
</calcChain>
</file>

<file path=xl/sharedStrings.xml><?xml version="1.0" encoding="utf-8"?>
<sst xmlns="http://schemas.openxmlformats.org/spreadsheetml/2006/main" count="102" uniqueCount="65">
  <si>
    <t>Actividad</t>
  </si>
  <si>
    <t>Estimacion de Tiempo (Semanas)</t>
  </si>
  <si>
    <t xml:space="preserve">Actividad Predecesora </t>
  </si>
  <si>
    <t>Rutas</t>
  </si>
  <si>
    <t>TE</t>
  </si>
  <si>
    <t>Varianza</t>
  </si>
  <si>
    <t>Optimista (To)</t>
  </si>
  <si>
    <t>Mas Probable (Tm)</t>
  </si>
  <si>
    <t>Pesimista (Tp)</t>
  </si>
  <si>
    <t xml:space="preserve"> Inmediata</t>
  </si>
  <si>
    <t>TE=(To+4Tm+Tp)/6</t>
  </si>
  <si>
    <t>Va=((Tp-To)/6)^2</t>
  </si>
  <si>
    <t>A</t>
  </si>
  <si>
    <t>I</t>
  </si>
  <si>
    <t>B</t>
  </si>
  <si>
    <t>C</t>
  </si>
  <si>
    <t>D</t>
  </si>
  <si>
    <t>E</t>
  </si>
  <si>
    <t>F</t>
  </si>
  <si>
    <t>H</t>
  </si>
  <si>
    <t>G</t>
  </si>
  <si>
    <t>-</t>
  </si>
  <si>
    <t>J</t>
  </si>
  <si>
    <t>Ruta Critica</t>
  </si>
  <si>
    <t>X= 8 Semanas</t>
  </si>
  <si>
    <t>VA</t>
  </si>
  <si>
    <t>Desviacion Estandar</t>
  </si>
  <si>
    <t>DE=Raiz(VA)</t>
  </si>
  <si>
    <t>Probabilidad</t>
  </si>
  <si>
    <t>Z=(X-M)/DE</t>
  </si>
  <si>
    <t>Tiempo de Esperado</t>
  </si>
  <si>
    <t>M - Ruta Crítica</t>
  </si>
  <si>
    <t>A Ingreso de productos</t>
  </si>
  <si>
    <t>B Clasificar productos por categoría</t>
  </si>
  <si>
    <t>C Registro precio de compra y precio de venta</t>
  </si>
  <si>
    <t>D Seguimiento de stock</t>
  </si>
  <si>
    <t>E Historial y motivo del movimiento</t>
  </si>
  <si>
    <t>F Alerta de reposición</t>
  </si>
  <si>
    <t>K Reporte de productos bajo stock</t>
  </si>
  <si>
    <t>J Compra de productos</t>
  </si>
  <si>
    <t>I Historial de compras por proveedor</t>
  </si>
  <si>
    <t>H Registro de contacto y dirección</t>
  </si>
  <si>
    <t>G Alta de proveedores</t>
  </si>
  <si>
    <t>M Calendario de inventarios por categoria</t>
  </si>
  <si>
    <t xml:space="preserve">N Gestión y Control (por extinción) </t>
  </si>
  <si>
    <t>K</t>
  </si>
  <si>
    <t>L</t>
  </si>
  <si>
    <t>M</t>
  </si>
  <si>
    <t>N</t>
  </si>
  <si>
    <t>*</t>
  </si>
  <si>
    <t>J,K,M</t>
  </si>
  <si>
    <t>C,D</t>
  </si>
  <si>
    <t>G,H</t>
  </si>
  <si>
    <t>A,I</t>
  </si>
  <si>
    <t>B,D,J</t>
  </si>
  <si>
    <t>L Generación de reportes (inventarios)</t>
  </si>
  <si>
    <t>A,J</t>
  </si>
  <si>
    <t>A, B, C, D, E, F, G, H, I, J, K, N</t>
  </si>
  <si>
    <t>A, B, C, E, F, G, H, I, J, L, M, N</t>
  </si>
  <si>
    <t>A, B, C, E, F, G, H, I, J, N</t>
  </si>
  <si>
    <t>A, B, C, E, F, G, I, J, N</t>
  </si>
  <si>
    <t>A, B, C, D, K, N</t>
  </si>
  <si>
    <t>A, B, K, N</t>
  </si>
  <si>
    <t>A, L, M, N</t>
  </si>
  <si>
    <t>A, J,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</si>
</sst>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top"/>
    </xf>
    <xf numFmtId="0" fontId="0" fillId="0" borderId="1" xfId="0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0" borderId="6" xfId="0" applyBorder="1"/>
    <xf numFmtId="2" fontId="0" fillId="0" borderId="1" xfId="0" applyNumberFormat="1" applyBorder="1" applyAlignment="1">
      <alignment horizontal="center" vertical="center"/>
    </xf>
    <xf numFmtId="0" fontId="0" fillId="0" borderId="2" xfId="0" applyBorder="1"/>
    <xf numFmtId="2" fontId="0" fillId="0" borderId="2" xfId="0" applyNumberFormat="1" applyBorder="1" applyAlignment="1">
      <alignment horizontal="center" vertical="center"/>
    </xf>
    <xf numFmtId="0" fontId="0" fillId="0" borderId="0" xfId="0" applyBorder="1"/>
    <xf numFmtId="164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22</xdr:row>
      <xdr:rowOff>71438</xdr:rowOff>
    </xdr:from>
    <xdr:to>
      <xdr:col>0</xdr:col>
      <xdr:colOff>904875</xdr:colOff>
      <xdr:row>24</xdr:row>
      <xdr:rowOff>178594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625" y="4321969"/>
          <a:ext cx="857250" cy="48815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INICIO</a:t>
          </a:r>
        </a:p>
      </xdr:txBody>
    </xdr:sp>
    <xdr:clientData/>
  </xdr:twoCellAnchor>
  <xdr:twoCellAnchor>
    <xdr:from>
      <xdr:col>0</xdr:col>
      <xdr:colOff>27214</xdr:colOff>
      <xdr:row>34</xdr:row>
      <xdr:rowOff>0</xdr:rowOff>
    </xdr:from>
    <xdr:to>
      <xdr:col>15</xdr:col>
      <xdr:colOff>0</xdr:colOff>
      <xdr:row>40</xdr:row>
      <xdr:rowOff>63500</xdr:rowOff>
    </xdr:to>
    <xdr:sp macro="" textlink="">
      <xdr:nvSpPr>
        <xdr:cNvPr id="261" name="Rectángulo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27214" y="5778500"/>
          <a:ext cx="17181286" cy="12065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 b="1">
              <a:solidFill>
                <a:schemeClr val="tx1"/>
              </a:solidFill>
            </a:rPr>
            <a:t>Conclusion: En</a:t>
          </a:r>
          <a:r>
            <a:rPr lang="es-MX" sz="1400" b="1" baseline="0">
              <a:solidFill>
                <a:schemeClr val="tx1"/>
              </a:solidFill>
            </a:rPr>
            <a:t> esta actividad me permitio estimar tiempo para el sistema de proyecto, utilizando el metodo PERT, demostrandonos la importancia de planificar las actividades. Reconozco el metodo de gran utilidad y recomendable.</a:t>
          </a:r>
          <a:endParaRPr lang="es-MX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1230313</xdr:colOff>
      <xdr:row>17</xdr:row>
      <xdr:rowOff>55563</xdr:rowOff>
    </xdr:from>
    <xdr:to>
      <xdr:col>0</xdr:col>
      <xdr:colOff>2147094</xdr:colOff>
      <xdr:row>19</xdr:row>
      <xdr:rowOff>174625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230313" y="3353594"/>
          <a:ext cx="916781" cy="500062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0</xdr:col>
      <xdr:colOff>837407</xdr:colOff>
      <xdr:row>26</xdr:row>
      <xdr:rowOff>178594</xdr:rowOff>
    </xdr:from>
    <xdr:to>
      <xdr:col>0</xdr:col>
      <xdr:colOff>1754188</xdr:colOff>
      <xdr:row>29</xdr:row>
      <xdr:rowOff>107156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837407" y="5191125"/>
          <a:ext cx="916781" cy="500062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B</a:t>
          </a:r>
        </a:p>
      </xdr:txBody>
    </xdr:sp>
    <xdr:clientData/>
  </xdr:twoCellAnchor>
  <xdr:twoCellAnchor>
    <xdr:from>
      <xdr:col>0</xdr:col>
      <xdr:colOff>779334</xdr:colOff>
      <xdr:row>19</xdr:row>
      <xdr:rowOff>101393</xdr:rowOff>
    </xdr:from>
    <xdr:to>
      <xdr:col>0</xdr:col>
      <xdr:colOff>1364572</xdr:colOff>
      <xdr:row>22</xdr:row>
      <xdr:rowOff>142927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>
          <a:stCxn id="3" idx="7"/>
          <a:endCxn id="44" idx="3"/>
        </xdr:cNvCxnSpPr>
      </xdr:nvCxnSpPr>
      <xdr:spPr>
        <a:xfrm flipV="1">
          <a:off x="779334" y="3780424"/>
          <a:ext cx="585238" cy="6130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971666</xdr:colOff>
      <xdr:row>19</xdr:row>
      <xdr:rowOff>174625</xdr:rowOff>
    </xdr:from>
    <xdr:to>
      <xdr:col>0</xdr:col>
      <xdr:colOff>1688704</xdr:colOff>
      <xdr:row>27</xdr:row>
      <xdr:rowOff>61326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stCxn id="44" idx="4"/>
          <a:endCxn id="46" idx="1"/>
        </xdr:cNvCxnSpPr>
      </xdr:nvCxnSpPr>
      <xdr:spPr>
        <a:xfrm flipH="1">
          <a:off x="971666" y="3853656"/>
          <a:ext cx="717038" cy="14107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2198689</xdr:colOff>
      <xdr:row>29</xdr:row>
      <xdr:rowOff>75407</xdr:rowOff>
    </xdr:from>
    <xdr:to>
      <xdr:col>0</xdr:col>
      <xdr:colOff>3123407</xdr:colOff>
      <xdr:row>32</xdr:row>
      <xdr:rowOff>3969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198689" y="5659438"/>
          <a:ext cx="924718" cy="500062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C</a:t>
          </a:r>
        </a:p>
      </xdr:txBody>
    </xdr:sp>
    <xdr:clientData/>
  </xdr:twoCellAnchor>
  <xdr:twoCellAnchor>
    <xdr:from>
      <xdr:col>0</xdr:col>
      <xdr:colOff>1754188</xdr:colOff>
      <xdr:row>28</xdr:row>
      <xdr:rowOff>47625</xdr:rowOff>
    </xdr:from>
    <xdr:to>
      <xdr:col>0</xdr:col>
      <xdr:colOff>2198689</xdr:colOff>
      <xdr:row>30</xdr:row>
      <xdr:rowOff>134938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>
          <a:stCxn id="46" idx="6"/>
          <a:endCxn id="52" idx="2"/>
        </xdr:cNvCxnSpPr>
      </xdr:nvCxnSpPr>
      <xdr:spPr>
        <a:xfrm>
          <a:off x="1754188" y="5441156"/>
          <a:ext cx="444501" cy="4683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3127376</xdr:colOff>
      <xdr:row>20</xdr:row>
      <xdr:rowOff>158750</xdr:rowOff>
    </xdr:from>
    <xdr:to>
      <xdr:col>1</xdr:col>
      <xdr:colOff>877094</xdr:colOff>
      <xdr:row>23</xdr:row>
      <xdr:rowOff>87312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3127376" y="4028281"/>
          <a:ext cx="916781" cy="500062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E</a:t>
          </a:r>
        </a:p>
      </xdr:txBody>
    </xdr:sp>
    <xdr:clientData/>
  </xdr:twoCellAnchor>
  <xdr:twoCellAnchor>
    <xdr:from>
      <xdr:col>0</xdr:col>
      <xdr:colOff>3123407</xdr:colOff>
      <xdr:row>28</xdr:row>
      <xdr:rowOff>55560</xdr:rowOff>
    </xdr:from>
    <xdr:to>
      <xdr:col>1</xdr:col>
      <xdr:colOff>793750</xdr:colOff>
      <xdr:row>30</xdr:row>
      <xdr:rowOff>134938</xdr:rowOff>
    </xdr:to>
    <xdr:cxnSp macro="">
      <xdr:nvCxnSpPr>
        <xdr:cNvPr id="68" name="Conector recto de flecha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>
          <a:stCxn id="52" idx="6"/>
          <a:endCxn id="72" idx="2"/>
        </xdr:cNvCxnSpPr>
      </xdr:nvCxnSpPr>
      <xdr:spPr>
        <a:xfrm flipV="1">
          <a:off x="3123407" y="5449091"/>
          <a:ext cx="837406" cy="4603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793750</xdr:colOff>
      <xdr:row>26</xdr:row>
      <xdr:rowOff>186529</xdr:rowOff>
    </xdr:from>
    <xdr:to>
      <xdr:col>2</xdr:col>
      <xdr:colOff>543719</xdr:colOff>
      <xdr:row>29</xdr:row>
      <xdr:rowOff>115091</xdr:rowOff>
    </xdr:to>
    <xdr:sp macro="" textlink="">
      <xdr:nvSpPr>
        <xdr:cNvPr id="72" name="Elips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3960813" y="5199060"/>
          <a:ext cx="916781" cy="500062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D</a:t>
          </a:r>
        </a:p>
      </xdr:txBody>
    </xdr:sp>
    <xdr:clientData/>
  </xdr:twoCellAnchor>
  <xdr:twoCellAnchor>
    <xdr:from>
      <xdr:col>3</xdr:col>
      <xdr:colOff>519907</xdr:colOff>
      <xdr:row>25</xdr:row>
      <xdr:rowOff>3968</xdr:rowOff>
    </xdr:from>
    <xdr:to>
      <xdr:col>4</xdr:col>
      <xdr:colOff>297657</xdr:colOff>
      <xdr:row>27</xdr:row>
      <xdr:rowOff>123030</xdr:rowOff>
    </xdr:to>
    <xdr:sp macro="" textlink="">
      <xdr:nvSpPr>
        <xdr:cNvPr id="80" name="Elips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6092032" y="4825999"/>
          <a:ext cx="920750" cy="500062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F</a:t>
          </a:r>
        </a:p>
      </xdr:txBody>
    </xdr:sp>
    <xdr:clientData/>
  </xdr:twoCellAnchor>
  <xdr:twoCellAnchor>
    <xdr:from>
      <xdr:col>3</xdr:col>
      <xdr:colOff>527841</xdr:colOff>
      <xdr:row>30</xdr:row>
      <xdr:rowOff>43656</xdr:rowOff>
    </xdr:from>
    <xdr:to>
      <xdr:col>4</xdr:col>
      <xdr:colOff>301622</xdr:colOff>
      <xdr:row>32</xdr:row>
      <xdr:rowOff>162718</xdr:rowOff>
    </xdr:to>
    <xdr:sp macro="" textlink="">
      <xdr:nvSpPr>
        <xdr:cNvPr id="81" name="Elips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6099966" y="5818187"/>
          <a:ext cx="916781" cy="500062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G</a:t>
          </a:r>
        </a:p>
      </xdr:txBody>
    </xdr:sp>
    <xdr:clientData/>
  </xdr:twoCellAnchor>
  <xdr:twoCellAnchor>
    <xdr:from>
      <xdr:col>4</xdr:col>
      <xdr:colOff>1146968</xdr:colOff>
      <xdr:row>24</xdr:row>
      <xdr:rowOff>162720</xdr:rowOff>
    </xdr:from>
    <xdr:to>
      <xdr:col>5</xdr:col>
      <xdr:colOff>408780</xdr:colOff>
      <xdr:row>27</xdr:row>
      <xdr:rowOff>91282</xdr:rowOff>
    </xdr:to>
    <xdr:sp macro="" textlink="">
      <xdr:nvSpPr>
        <xdr:cNvPr id="82" name="Elips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7862093" y="4794251"/>
          <a:ext cx="916781" cy="500062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H</a:t>
          </a:r>
        </a:p>
      </xdr:txBody>
    </xdr:sp>
    <xdr:clientData/>
  </xdr:twoCellAnchor>
  <xdr:twoCellAnchor>
    <xdr:from>
      <xdr:col>6</xdr:col>
      <xdr:colOff>670718</xdr:colOff>
      <xdr:row>23</xdr:row>
      <xdr:rowOff>146845</xdr:rowOff>
    </xdr:from>
    <xdr:to>
      <xdr:col>7</xdr:col>
      <xdr:colOff>825499</xdr:colOff>
      <xdr:row>26</xdr:row>
      <xdr:rowOff>75407</xdr:rowOff>
    </xdr:to>
    <xdr:sp macro="" textlink="">
      <xdr:nvSpPr>
        <xdr:cNvPr id="83" name="Elips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9802812" y="4587876"/>
          <a:ext cx="916781" cy="500062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J</a:t>
          </a:r>
        </a:p>
      </xdr:txBody>
    </xdr:sp>
    <xdr:clientData/>
  </xdr:twoCellAnchor>
  <xdr:twoCellAnchor>
    <xdr:from>
      <xdr:col>8</xdr:col>
      <xdr:colOff>746126</xdr:colOff>
      <xdr:row>30</xdr:row>
      <xdr:rowOff>27781</xdr:rowOff>
    </xdr:from>
    <xdr:to>
      <xdr:col>9</xdr:col>
      <xdr:colOff>39688</xdr:colOff>
      <xdr:row>32</xdr:row>
      <xdr:rowOff>146843</xdr:rowOff>
    </xdr:to>
    <xdr:sp macro="" textlink="">
      <xdr:nvSpPr>
        <xdr:cNvPr id="84" name="Elips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12112626" y="5806281"/>
          <a:ext cx="912812" cy="50006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FIN</a:t>
          </a:r>
        </a:p>
      </xdr:txBody>
    </xdr:sp>
    <xdr:clientData/>
  </xdr:twoCellAnchor>
  <xdr:twoCellAnchor>
    <xdr:from>
      <xdr:col>2</xdr:col>
      <xdr:colOff>543719</xdr:colOff>
      <xdr:row>27</xdr:row>
      <xdr:rowOff>49798</xdr:rowOff>
    </xdr:from>
    <xdr:to>
      <xdr:col>3</xdr:col>
      <xdr:colOff>654748</xdr:colOff>
      <xdr:row>28</xdr:row>
      <xdr:rowOff>55560</xdr:rowOff>
    </xdr:to>
    <xdr:cxnSp macro="">
      <xdr:nvCxnSpPr>
        <xdr:cNvPr id="88" name="Conector recto de flecha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stCxn id="72" idx="6"/>
          <a:endCxn id="80" idx="3"/>
        </xdr:cNvCxnSpPr>
      </xdr:nvCxnSpPr>
      <xdr:spPr>
        <a:xfrm flipV="1">
          <a:off x="4877594" y="5252829"/>
          <a:ext cx="1349279" cy="1962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980282</xdr:colOff>
      <xdr:row>27</xdr:row>
      <xdr:rowOff>123030</xdr:rowOff>
    </xdr:from>
    <xdr:to>
      <xdr:col>3</xdr:col>
      <xdr:colOff>986232</xdr:colOff>
      <xdr:row>30</xdr:row>
      <xdr:rowOff>43656</xdr:rowOff>
    </xdr:to>
    <xdr:cxnSp macro="">
      <xdr:nvCxnSpPr>
        <xdr:cNvPr id="91" name="Conector recto de flecha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CxnSpPr>
          <a:stCxn id="80" idx="4"/>
          <a:endCxn id="81" idx="0"/>
        </xdr:cNvCxnSpPr>
      </xdr:nvCxnSpPr>
      <xdr:spPr>
        <a:xfrm>
          <a:off x="6552407" y="5326061"/>
          <a:ext cx="5950" cy="4921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301622</xdr:colOff>
      <xdr:row>26</xdr:row>
      <xdr:rowOff>31751</xdr:rowOff>
    </xdr:from>
    <xdr:to>
      <xdr:col>4</xdr:col>
      <xdr:colOff>1146968</xdr:colOff>
      <xdr:row>31</xdr:row>
      <xdr:rowOff>103187</xdr:rowOff>
    </xdr:to>
    <xdr:cxnSp macro="">
      <xdr:nvCxnSpPr>
        <xdr:cNvPr id="94" name="Conector recto de flecha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>
          <a:stCxn id="81" idx="6"/>
          <a:endCxn id="82" idx="2"/>
        </xdr:cNvCxnSpPr>
      </xdr:nvCxnSpPr>
      <xdr:spPr>
        <a:xfrm flipV="1">
          <a:off x="7016747" y="5044282"/>
          <a:ext cx="845346" cy="10239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</xdr:row>
      <xdr:rowOff>123265</xdr:rowOff>
    </xdr:from>
    <xdr:to>
      <xdr:col>12</xdr:col>
      <xdr:colOff>728382</xdr:colOff>
      <xdr:row>17</xdr:row>
      <xdr:rowOff>100854</xdr:rowOff>
    </xdr:to>
    <xdr:cxnSp macro="">
      <xdr:nvCxnSpPr>
        <xdr:cNvPr id="104" name="Conector recto de flecha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/>
      </xdr:nvCxnSpPr>
      <xdr:spPr>
        <a:xfrm flipH="1" flipV="1">
          <a:off x="16203706" y="369794"/>
          <a:ext cx="728382" cy="226358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2661048</xdr:colOff>
      <xdr:row>22</xdr:row>
      <xdr:rowOff>27781</xdr:rowOff>
    </xdr:from>
    <xdr:to>
      <xdr:col>0</xdr:col>
      <xdr:colOff>3127376</xdr:colOff>
      <xdr:row>29</xdr:row>
      <xdr:rowOff>75407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AE0FDCA0-D2A2-41F5-8FC5-21C1789DF7C8}"/>
            </a:ext>
          </a:extLst>
        </xdr:cNvPr>
        <xdr:cNvCxnSpPr>
          <a:stCxn id="52" idx="0"/>
          <a:endCxn id="59" idx="2"/>
        </xdr:cNvCxnSpPr>
      </xdr:nvCxnSpPr>
      <xdr:spPr>
        <a:xfrm flipV="1">
          <a:off x="2661048" y="4278312"/>
          <a:ext cx="466328" cy="13811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418704</xdr:colOff>
      <xdr:row>23</xdr:row>
      <xdr:rowOff>87312</xdr:rowOff>
    </xdr:from>
    <xdr:to>
      <xdr:col>2</xdr:col>
      <xdr:colOff>85329</xdr:colOff>
      <xdr:row>26</xdr:row>
      <xdr:rowOff>186529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E25770F0-AE87-478B-9221-BFA951E036E1}"/>
            </a:ext>
          </a:extLst>
        </xdr:cNvPr>
        <xdr:cNvCxnSpPr>
          <a:stCxn id="72" idx="0"/>
          <a:endCxn id="59" idx="4"/>
        </xdr:cNvCxnSpPr>
      </xdr:nvCxnSpPr>
      <xdr:spPr>
        <a:xfrm flipH="1" flipV="1">
          <a:off x="3585767" y="4528343"/>
          <a:ext cx="833437" cy="6707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877094</xdr:colOff>
      <xdr:row>22</xdr:row>
      <xdr:rowOff>27781</xdr:rowOff>
    </xdr:from>
    <xdr:to>
      <xdr:col>3</xdr:col>
      <xdr:colOff>519907</xdr:colOff>
      <xdr:row>26</xdr:row>
      <xdr:rowOff>63499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68E91D76-FC21-4DD4-94C1-209E01A50A78}"/>
            </a:ext>
          </a:extLst>
        </xdr:cNvPr>
        <xdr:cNvCxnSpPr>
          <a:stCxn id="59" idx="6"/>
          <a:endCxn id="80" idx="2"/>
        </xdr:cNvCxnSpPr>
      </xdr:nvCxnSpPr>
      <xdr:spPr>
        <a:xfrm>
          <a:off x="4044157" y="4278312"/>
          <a:ext cx="2047875" cy="7977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1297781</xdr:colOff>
      <xdr:row>30</xdr:row>
      <xdr:rowOff>178595</xdr:rowOff>
    </xdr:from>
    <xdr:to>
      <xdr:col>5</xdr:col>
      <xdr:colOff>559593</xdr:colOff>
      <xdr:row>33</xdr:row>
      <xdr:rowOff>107157</xdr:rowOff>
    </xdr:to>
    <xdr:sp macro="" textlink="">
      <xdr:nvSpPr>
        <xdr:cNvPr id="74" name="Elipse 73">
          <a:extLst>
            <a:ext uri="{FF2B5EF4-FFF2-40B4-BE49-F238E27FC236}">
              <a16:creationId xmlns:a16="http://schemas.microsoft.com/office/drawing/2014/main" id="{9D8C0738-8635-49D3-A960-9509F8284895}"/>
            </a:ext>
          </a:extLst>
        </xdr:cNvPr>
        <xdr:cNvSpPr/>
      </xdr:nvSpPr>
      <xdr:spPr>
        <a:xfrm>
          <a:off x="8012906" y="5953126"/>
          <a:ext cx="916781" cy="500062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I</a:t>
          </a:r>
        </a:p>
      </xdr:txBody>
    </xdr:sp>
    <xdr:clientData/>
  </xdr:twoCellAnchor>
  <xdr:twoCellAnchor>
    <xdr:from>
      <xdr:col>4</xdr:col>
      <xdr:colOff>167363</xdr:colOff>
      <xdr:row>32</xdr:row>
      <xdr:rowOff>47626</xdr:rowOff>
    </xdr:from>
    <xdr:to>
      <xdr:col>4</xdr:col>
      <xdr:colOff>1297781</xdr:colOff>
      <xdr:row>32</xdr:row>
      <xdr:rowOff>89486</xdr:rowOff>
    </xdr:to>
    <xdr:cxnSp macro="">
      <xdr:nvCxnSpPr>
        <xdr:cNvPr id="75" name="Conector recto de flecha 74">
          <a:extLst>
            <a:ext uri="{FF2B5EF4-FFF2-40B4-BE49-F238E27FC236}">
              <a16:creationId xmlns:a16="http://schemas.microsoft.com/office/drawing/2014/main" id="{CBEEE765-A4AA-46D6-B14E-01FBBE463CB6}"/>
            </a:ext>
          </a:extLst>
        </xdr:cNvPr>
        <xdr:cNvCxnSpPr>
          <a:stCxn id="81" idx="5"/>
          <a:endCxn id="74" idx="2"/>
        </xdr:cNvCxnSpPr>
      </xdr:nvCxnSpPr>
      <xdr:spPr>
        <a:xfrm flipV="1">
          <a:off x="6882488" y="6203157"/>
          <a:ext cx="1130418" cy="418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1605359</xdr:colOff>
      <xdr:row>27</xdr:row>
      <xdr:rowOff>91282</xdr:rowOff>
    </xdr:from>
    <xdr:to>
      <xdr:col>5</xdr:col>
      <xdr:colOff>101203</xdr:colOff>
      <xdr:row>30</xdr:row>
      <xdr:rowOff>178595</xdr:rowOff>
    </xdr:to>
    <xdr:cxnSp macro="">
      <xdr:nvCxnSpPr>
        <xdr:cNvPr id="79" name="Conector recto de flecha 78">
          <a:extLst>
            <a:ext uri="{FF2B5EF4-FFF2-40B4-BE49-F238E27FC236}">
              <a16:creationId xmlns:a16="http://schemas.microsoft.com/office/drawing/2014/main" id="{71E6AD99-3803-45F1-80CC-655BD240BC55}"/>
            </a:ext>
          </a:extLst>
        </xdr:cNvPr>
        <xdr:cNvCxnSpPr>
          <a:stCxn id="82" idx="4"/>
          <a:endCxn id="74" idx="0"/>
        </xdr:cNvCxnSpPr>
      </xdr:nvCxnSpPr>
      <xdr:spPr>
        <a:xfrm>
          <a:off x="8320484" y="5294313"/>
          <a:ext cx="150813" cy="6588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425334</xdr:colOff>
      <xdr:row>26</xdr:row>
      <xdr:rowOff>75407</xdr:rowOff>
    </xdr:from>
    <xdr:to>
      <xdr:col>7</xdr:col>
      <xdr:colOff>367109</xdr:colOff>
      <xdr:row>31</xdr:row>
      <xdr:rowOff>61327</xdr:rowOff>
    </xdr:to>
    <xdr:cxnSp macro="">
      <xdr:nvCxnSpPr>
        <xdr:cNvPr id="86" name="Conector recto de flecha 85">
          <a:extLst>
            <a:ext uri="{FF2B5EF4-FFF2-40B4-BE49-F238E27FC236}">
              <a16:creationId xmlns:a16="http://schemas.microsoft.com/office/drawing/2014/main" id="{76990DBE-61D3-4282-A0CC-9B85EB13492C}"/>
            </a:ext>
          </a:extLst>
        </xdr:cNvPr>
        <xdr:cNvCxnSpPr>
          <a:stCxn id="74" idx="7"/>
          <a:endCxn id="83" idx="4"/>
        </xdr:cNvCxnSpPr>
      </xdr:nvCxnSpPr>
      <xdr:spPr>
        <a:xfrm flipV="1">
          <a:off x="8795428" y="5087938"/>
          <a:ext cx="1465775" cy="9384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2147094</xdr:colOff>
      <xdr:row>18</xdr:row>
      <xdr:rowOff>115094</xdr:rowOff>
    </xdr:from>
    <xdr:to>
      <xdr:col>6</xdr:col>
      <xdr:colOff>670718</xdr:colOff>
      <xdr:row>25</xdr:row>
      <xdr:rowOff>15876</xdr:rowOff>
    </xdr:to>
    <xdr:cxnSp macro="">
      <xdr:nvCxnSpPr>
        <xdr:cNvPr id="108" name="Conector recto de flecha 107">
          <a:extLst>
            <a:ext uri="{FF2B5EF4-FFF2-40B4-BE49-F238E27FC236}">
              <a16:creationId xmlns:a16="http://schemas.microsoft.com/office/drawing/2014/main" id="{5AAC49DE-BF66-4528-B9AB-6F688F276B72}"/>
            </a:ext>
          </a:extLst>
        </xdr:cNvPr>
        <xdr:cNvCxnSpPr>
          <a:stCxn id="44" idx="6"/>
          <a:endCxn id="83" idx="2"/>
        </xdr:cNvCxnSpPr>
      </xdr:nvCxnSpPr>
      <xdr:spPr>
        <a:xfrm>
          <a:off x="2147094" y="3603625"/>
          <a:ext cx="7655718" cy="12342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1285877</xdr:colOff>
      <xdr:row>19</xdr:row>
      <xdr:rowOff>35718</xdr:rowOff>
    </xdr:from>
    <xdr:to>
      <xdr:col>5</xdr:col>
      <xdr:colOff>547689</xdr:colOff>
      <xdr:row>21</xdr:row>
      <xdr:rowOff>154780</xdr:rowOff>
    </xdr:to>
    <xdr:sp macro="" textlink="">
      <xdr:nvSpPr>
        <xdr:cNvPr id="112" name="Elipse 111">
          <a:extLst>
            <a:ext uri="{FF2B5EF4-FFF2-40B4-BE49-F238E27FC236}">
              <a16:creationId xmlns:a16="http://schemas.microsoft.com/office/drawing/2014/main" id="{0F3B9728-5F86-48B0-A9D8-F0F7F84A1A9C}"/>
            </a:ext>
          </a:extLst>
        </xdr:cNvPr>
        <xdr:cNvSpPr/>
      </xdr:nvSpPr>
      <xdr:spPr>
        <a:xfrm>
          <a:off x="8001002" y="3714749"/>
          <a:ext cx="916781" cy="500062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K</a:t>
          </a:r>
        </a:p>
      </xdr:txBody>
    </xdr:sp>
    <xdr:clientData/>
  </xdr:twoCellAnchor>
  <xdr:twoCellAnchor>
    <xdr:from>
      <xdr:col>0</xdr:col>
      <xdr:colOff>1619929</xdr:colOff>
      <xdr:row>20</xdr:row>
      <xdr:rowOff>95249</xdr:rowOff>
    </xdr:from>
    <xdr:to>
      <xdr:col>4</xdr:col>
      <xdr:colOff>1285877</xdr:colOff>
      <xdr:row>27</xdr:row>
      <xdr:rowOff>61326</xdr:rowOff>
    </xdr:to>
    <xdr:cxnSp macro="">
      <xdr:nvCxnSpPr>
        <xdr:cNvPr id="115" name="Conector recto de flecha 114">
          <a:extLst>
            <a:ext uri="{FF2B5EF4-FFF2-40B4-BE49-F238E27FC236}">
              <a16:creationId xmlns:a16="http://schemas.microsoft.com/office/drawing/2014/main" id="{D7DD787E-7C2E-4357-BFBC-FD70BA5C05A8}"/>
            </a:ext>
          </a:extLst>
        </xdr:cNvPr>
        <xdr:cNvCxnSpPr>
          <a:stCxn id="46" idx="7"/>
          <a:endCxn id="112" idx="2"/>
        </xdr:cNvCxnSpPr>
      </xdr:nvCxnSpPr>
      <xdr:spPr>
        <a:xfrm flipV="1">
          <a:off x="1619929" y="3964780"/>
          <a:ext cx="6381073" cy="12995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547689</xdr:colOff>
      <xdr:row>20</xdr:row>
      <xdr:rowOff>95249</xdr:rowOff>
    </xdr:from>
    <xdr:to>
      <xdr:col>7</xdr:col>
      <xdr:colOff>42977</xdr:colOff>
      <xdr:row>24</xdr:row>
      <xdr:rowOff>29577</xdr:rowOff>
    </xdr:to>
    <xdr:cxnSp macro="">
      <xdr:nvCxnSpPr>
        <xdr:cNvPr id="119" name="Conector recto de flecha 118">
          <a:extLst>
            <a:ext uri="{FF2B5EF4-FFF2-40B4-BE49-F238E27FC236}">
              <a16:creationId xmlns:a16="http://schemas.microsoft.com/office/drawing/2014/main" id="{43D2A722-15B1-4D21-A208-CE20AE25B946}"/>
            </a:ext>
          </a:extLst>
        </xdr:cNvPr>
        <xdr:cNvCxnSpPr>
          <a:stCxn id="83" idx="1"/>
          <a:endCxn id="112" idx="6"/>
        </xdr:cNvCxnSpPr>
      </xdr:nvCxnSpPr>
      <xdr:spPr>
        <a:xfrm flipH="1" flipV="1">
          <a:off x="8917783" y="3964780"/>
          <a:ext cx="1019288" cy="6963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409460</xdr:colOff>
      <xdr:row>21</xdr:row>
      <xdr:rowOff>81548</xdr:rowOff>
    </xdr:from>
    <xdr:to>
      <xdr:col>4</xdr:col>
      <xdr:colOff>1420136</xdr:colOff>
      <xdr:row>27</xdr:row>
      <xdr:rowOff>69261</xdr:rowOff>
    </xdr:to>
    <xdr:cxnSp macro="">
      <xdr:nvCxnSpPr>
        <xdr:cNvPr id="120" name="Conector recto de flecha 119">
          <a:extLst>
            <a:ext uri="{FF2B5EF4-FFF2-40B4-BE49-F238E27FC236}">
              <a16:creationId xmlns:a16="http://schemas.microsoft.com/office/drawing/2014/main" id="{51BC47B1-885C-4389-A5EF-5E30BE2EFF87}"/>
            </a:ext>
          </a:extLst>
        </xdr:cNvPr>
        <xdr:cNvCxnSpPr>
          <a:stCxn id="72" idx="7"/>
          <a:endCxn id="112" idx="3"/>
        </xdr:cNvCxnSpPr>
      </xdr:nvCxnSpPr>
      <xdr:spPr>
        <a:xfrm flipV="1">
          <a:off x="4743335" y="4141579"/>
          <a:ext cx="3391926" cy="11307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637267</xdr:colOff>
      <xdr:row>19</xdr:row>
      <xdr:rowOff>7731</xdr:rowOff>
    </xdr:from>
    <xdr:to>
      <xdr:col>7</xdr:col>
      <xdr:colOff>1272498</xdr:colOff>
      <xdr:row>21</xdr:row>
      <xdr:rowOff>139906</xdr:rowOff>
    </xdr:to>
    <xdr:cxnSp macro="">
      <xdr:nvCxnSpPr>
        <xdr:cNvPr id="121" name="Conector recto de flecha 120">
          <a:extLst>
            <a:ext uri="{FF2B5EF4-FFF2-40B4-BE49-F238E27FC236}">
              <a16:creationId xmlns:a16="http://schemas.microsoft.com/office/drawing/2014/main" id="{2BAEB0E7-AA05-4BCD-9620-3C50E2836F63}"/>
            </a:ext>
          </a:extLst>
        </xdr:cNvPr>
        <xdr:cNvCxnSpPr>
          <a:stCxn id="168" idx="5"/>
          <a:endCxn id="187" idx="1"/>
        </xdr:cNvCxnSpPr>
      </xdr:nvCxnSpPr>
      <xdr:spPr>
        <a:xfrm>
          <a:off x="10531361" y="3686762"/>
          <a:ext cx="635231" cy="513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313136</xdr:colOff>
      <xdr:row>19</xdr:row>
      <xdr:rowOff>80963</xdr:rowOff>
    </xdr:from>
    <xdr:to>
      <xdr:col>7</xdr:col>
      <xdr:colOff>367109</xdr:colOff>
      <xdr:row>23</xdr:row>
      <xdr:rowOff>146845</xdr:rowOff>
    </xdr:to>
    <xdr:cxnSp macro="">
      <xdr:nvCxnSpPr>
        <xdr:cNvPr id="122" name="Conector recto de flecha 121">
          <a:extLst>
            <a:ext uri="{FF2B5EF4-FFF2-40B4-BE49-F238E27FC236}">
              <a16:creationId xmlns:a16="http://schemas.microsoft.com/office/drawing/2014/main" id="{5E051DEB-C61C-4735-8653-F4EC689F0387}"/>
            </a:ext>
          </a:extLst>
        </xdr:cNvPr>
        <xdr:cNvCxnSpPr>
          <a:stCxn id="83" idx="0"/>
          <a:endCxn id="168" idx="4"/>
        </xdr:cNvCxnSpPr>
      </xdr:nvCxnSpPr>
      <xdr:spPr>
        <a:xfrm flipH="1" flipV="1">
          <a:off x="10207230" y="3759994"/>
          <a:ext cx="53973" cy="8278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616745</xdr:colOff>
      <xdr:row>16</xdr:row>
      <xdr:rowOff>152401</xdr:rowOff>
    </xdr:from>
    <xdr:to>
      <xdr:col>7</xdr:col>
      <xdr:colOff>771526</xdr:colOff>
      <xdr:row>19</xdr:row>
      <xdr:rowOff>80963</xdr:rowOff>
    </xdr:to>
    <xdr:sp macro="" textlink="">
      <xdr:nvSpPr>
        <xdr:cNvPr id="168" name="Elipse 167">
          <a:extLst>
            <a:ext uri="{FF2B5EF4-FFF2-40B4-BE49-F238E27FC236}">
              <a16:creationId xmlns:a16="http://schemas.microsoft.com/office/drawing/2014/main" id="{9643989B-ED08-488D-A33D-4E56C50AC15A}"/>
            </a:ext>
          </a:extLst>
        </xdr:cNvPr>
        <xdr:cNvSpPr/>
      </xdr:nvSpPr>
      <xdr:spPr>
        <a:xfrm>
          <a:off x="9748839" y="3259932"/>
          <a:ext cx="916781" cy="500062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L</a:t>
          </a:r>
        </a:p>
      </xdr:txBody>
    </xdr:sp>
    <xdr:clientData/>
  </xdr:twoCellAnchor>
  <xdr:twoCellAnchor>
    <xdr:from>
      <xdr:col>5</xdr:col>
      <xdr:colOff>413430</xdr:colOff>
      <xdr:row>21</xdr:row>
      <xdr:rowOff>81548</xdr:rowOff>
    </xdr:from>
    <xdr:to>
      <xdr:col>7</xdr:col>
      <xdr:colOff>293804</xdr:colOff>
      <xdr:row>30</xdr:row>
      <xdr:rowOff>185150</xdr:rowOff>
    </xdr:to>
    <xdr:cxnSp macro="">
      <xdr:nvCxnSpPr>
        <xdr:cNvPr id="169" name="Conector recto de flecha 168">
          <a:extLst>
            <a:ext uri="{FF2B5EF4-FFF2-40B4-BE49-F238E27FC236}">
              <a16:creationId xmlns:a16="http://schemas.microsoft.com/office/drawing/2014/main" id="{A7D321F7-C0BE-4744-A5C5-4EDB0B6C3630}"/>
            </a:ext>
          </a:extLst>
        </xdr:cNvPr>
        <xdr:cNvCxnSpPr>
          <a:stCxn id="112" idx="5"/>
          <a:endCxn id="322" idx="1"/>
        </xdr:cNvCxnSpPr>
      </xdr:nvCxnSpPr>
      <xdr:spPr>
        <a:xfrm>
          <a:off x="8783524" y="4141579"/>
          <a:ext cx="1404374" cy="181810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617936</xdr:colOff>
      <xdr:row>26</xdr:row>
      <xdr:rowOff>2175</xdr:rowOff>
    </xdr:from>
    <xdr:to>
      <xdr:col>7</xdr:col>
      <xdr:colOff>691240</xdr:colOff>
      <xdr:row>30</xdr:row>
      <xdr:rowOff>111918</xdr:rowOff>
    </xdr:to>
    <xdr:cxnSp macro="">
      <xdr:nvCxnSpPr>
        <xdr:cNvPr id="170" name="Conector recto de flecha 169">
          <a:extLst>
            <a:ext uri="{FF2B5EF4-FFF2-40B4-BE49-F238E27FC236}">
              <a16:creationId xmlns:a16="http://schemas.microsoft.com/office/drawing/2014/main" id="{C9B6158C-B430-4550-9FF1-4C8B8C6D455C}"/>
            </a:ext>
          </a:extLst>
        </xdr:cNvPr>
        <xdr:cNvCxnSpPr>
          <a:stCxn id="83" idx="5"/>
          <a:endCxn id="322" idx="0"/>
        </xdr:cNvCxnSpPr>
      </xdr:nvCxnSpPr>
      <xdr:spPr>
        <a:xfrm flipH="1">
          <a:off x="10512030" y="5014706"/>
          <a:ext cx="73304" cy="8717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942067</xdr:colOff>
      <xdr:row>23</xdr:row>
      <xdr:rowOff>185736</xdr:rowOff>
    </xdr:from>
    <xdr:to>
      <xdr:col>8</xdr:col>
      <xdr:colOff>108349</xdr:colOff>
      <xdr:row>30</xdr:row>
      <xdr:rowOff>185150</xdr:rowOff>
    </xdr:to>
    <xdr:cxnSp macro="">
      <xdr:nvCxnSpPr>
        <xdr:cNvPr id="171" name="Conector recto de flecha 170">
          <a:extLst>
            <a:ext uri="{FF2B5EF4-FFF2-40B4-BE49-F238E27FC236}">
              <a16:creationId xmlns:a16="http://schemas.microsoft.com/office/drawing/2014/main" id="{A3F4F307-02ED-47FB-8CB4-1A0961660773}"/>
            </a:ext>
          </a:extLst>
        </xdr:cNvPr>
        <xdr:cNvCxnSpPr>
          <a:stCxn id="187" idx="4"/>
          <a:endCxn id="322" idx="7"/>
        </xdr:cNvCxnSpPr>
      </xdr:nvCxnSpPr>
      <xdr:spPr>
        <a:xfrm flipH="1">
          <a:off x="10836161" y="4626767"/>
          <a:ext cx="654563" cy="13329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2012835</xdr:colOff>
      <xdr:row>17</xdr:row>
      <xdr:rowOff>128795</xdr:rowOff>
    </xdr:from>
    <xdr:to>
      <xdr:col>6</xdr:col>
      <xdr:colOff>616745</xdr:colOff>
      <xdr:row>18</xdr:row>
      <xdr:rowOff>21432</xdr:rowOff>
    </xdr:to>
    <xdr:cxnSp macro="">
      <xdr:nvCxnSpPr>
        <xdr:cNvPr id="172" name="Conector recto de flecha 171">
          <a:extLst>
            <a:ext uri="{FF2B5EF4-FFF2-40B4-BE49-F238E27FC236}">
              <a16:creationId xmlns:a16="http://schemas.microsoft.com/office/drawing/2014/main" id="{FF5ED6A9-3970-4D68-95BB-C1B7509F4F6A}"/>
            </a:ext>
          </a:extLst>
        </xdr:cNvPr>
        <xdr:cNvCxnSpPr>
          <a:stCxn id="44" idx="7"/>
          <a:endCxn id="168" idx="2"/>
        </xdr:cNvCxnSpPr>
      </xdr:nvCxnSpPr>
      <xdr:spPr>
        <a:xfrm>
          <a:off x="2012835" y="3426826"/>
          <a:ext cx="7736004" cy="831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1138239</xdr:colOff>
      <xdr:row>21</xdr:row>
      <xdr:rowOff>66674</xdr:rowOff>
    </xdr:from>
    <xdr:to>
      <xdr:col>8</xdr:col>
      <xdr:colOff>566739</xdr:colOff>
      <xdr:row>23</xdr:row>
      <xdr:rowOff>185736</xdr:rowOff>
    </xdr:to>
    <xdr:sp macro="" textlink="">
      <xdr:nvSpPr>
        <xdr:cNvPr id="187" name="Elipse 186">
          <a:extLst>
            <a:ext uri="{FF2B5EF4-FFF2-40B4-BE49-F238E27FC236}">
              <a16:creationId xmlns:a16="http://schemas.microsoft.com/office/drawing/2014/main" id="{E2911C9E-9559-4787-B7F1-852B516EE367}"/>
            </a:ext>
          </a:extLst>
        </xdr:cNvPr>
        <xdr:cNvSpPr/>
      </xdr:nvSpPr>
      <xdr:spPr>
        <a:xfrm>
          <a:off x="11032333" y="4126705"/>
          <a:ext cx="916781" cy="500062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M</a:t>
          </a:r>
        </a:p>
      </xdr:txBody>
    </xdr:sp>
    <xdr:clientData/>
  </xdr:twoCellAnchor>
  <xdr:twoCellAnchor>
    <xdr:from>
      <xdr:col>7</xdr:col>
      <xdr:colOff>159545</xdr:colOff>
      <xdr:row>30</xdr:row>
      <xdr:rowOff>111918</xdr:rowOff>
    </xdr:from>
    <xdr:to>
      <xdr:col>7</xdr:col>
      <xdr:colOff>1076326</xdr:colOff>
      <xdr:row>33</xdr:row>
      <xdr:rowOff>40480</xdr:rowOff>
    </xdr:to>
    <xdr:sp macro="" textlink="">
      <xdr:nvSpPr>
        <xdr:cNvPr id="322" name="Elipse 321">
          <a:extLst>
            <a:ext uri="{FF2B5EF4-FFF2-40B4-BE49-F238E27FC236}">
              <a16:creationId xmlns:a16="http://schemas.microsoft.com/office/drawing/2014/main" id="{0E5DE47E-59DE-492D-BEA4-518F9643E070}"/>
            </a:ext>
          </a:extLst>
        </xdr:cNvPr>
        <xdr:cNvSpPr/>
      </xdr:nvSpPr>
      <xdr:spPr>
        <a:xfrm>
          <a:off x="10053639" y="5886449"/>
          <a:ext cx="916781" cy="500062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tx1"/>
              </a:solidFill>
            </a:rPr>
            <a:t>N</a:t>
          </a:r>
        </a:p>
      </xdr:txBody>
    </xdr:sp>
    <xdr:clientData/>
  </xdr:twoCellAnchor>
  <xdr:twoCellAnchor>
    <xdr:from>
      <xdr:col>7</xdr:col>
      <xdr:colOff>1076326</xdr:colOff>
      <xdr:row>31</xdr:row>
      <xdr:rowOff>87312</xdr:rowOff>
    </xdr:from>
    <xdr:to>
      <xdr:col>8</xdr:col>
      <xdr:colOff>746126</xdr:colOff>
      <xdr:row>31</xdr:row>
      <xdr:rowOff>171449</xdr:rowOff>
    </xdr:to>
    <xdr:cxnSp macro="">
      <xdr:nvCxnSpPr>
        <xdr:cNvPr id="346" name="Conector recto de flecha 345">
          <a:extLst>
            <a:ext uri="{FF2B5EF4-FFF2-40B4-BE49-F238E27FC236}">
              <a16:creationId xmlns:a16="http://schemas.microsoft.com/office/drawing/2014/main" id="{554EDE51-CC85-4DF2-9F69-834720736698}"/>
            </a:ext>
          </a:extLst>
        </xdr:cNvPr>
        <xdr:cNvCxnSpPr>
          <a:stCxn id="322" idx="6"/>
          <a:endCxn id="84" idx="2"/>
        </xdr:cNvCxnSpPr>
      </xdr:nvCxnSpPr>
      <xdr:spPr>
        <a:xfrm flipV="1">
          <a:off x="10950576" y="6056312"/>
          <a:ext cx="1162050" cy="841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1976438</xdr:colOff>
      <xdr:row>16</xdr:row>
      <xdr:rowOff>23811</xdr:rowOff>
    </xdr:from>
    <xdr:to>
      <xdr:col>0</xdr:col>
      <xdr:colOff>2500312</xdr:colOff>
      <xdr:row>17</xdr:row>
      <xdr:rowOff>95250</xdr:rowOff>
    </xdr:to>
    <xdr:sp macro="" textlink="">
      <xdr:nvSpPr>
        <xdr:cNvPr id="403" name="CuadroTexto 402">
          <a:extLst>
            <a:ext uri="{FF2B5EF4-FFF2-40B4-BE49-F238E27FC236}">
              <a16:creationId xmlns:a16="http://schemas.microsoft.com/office/drawing/2014/main" id="{B2D2096A-3580-49E2-85AF-3F244C5C19B9}"/>
            </a:ext>
          </a:extLst>
        </xdr:cNvPr>
        <xdr:cNvSpPr txBox="1"/>
      </xdr:nvSpPr>
      <xdr:spPr>
        <a:xfrm>
          <a:off x="1976438" y="3131342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0,22</a:t>
          </a:r>
        </a:p>
      </xdr:txBody>
    </xdr:sp>
    <xdr:clientData/>
  </xdr:twoCellAnchor>
  <xdr:twoCellAnchor>
    <xdr:from>
      <xdr:col>0</xdr:col>
      <xdr:colOff>1976438</xdr:colOff>
      <xdr:row>16</xdr:row>
      <xdr:rowOff>19842</xdr:rowOff>
    </xdr:from>
    <xdr:to>
      <xdr:col>0</xdr:col>
      <xdr:colOff>2500312</xdr:colOff>
      <xdr:row>17</xdr:row>
      <xdr:rowOff>91281</xdr:rowOff>
    </xdr:to>
    <xdr:sp macro="" textlink="">
      <xdr:nvSpPr>
        <xdr:cNvPr id="404" name="CuadroTexto 403">
          <a:extLst>
            <a:ext uri="{FF2B5EF4-FFF2-40B4-BE49-F238E27FC236}">
              <a16:creationId xmlns:a16="http://schemas.microsoft.com/office/drawing/2014/main" id="{E92A71F1-CC6F-427A-B9C5-E019E08C9EF4}"/>
            </a:ext>
          </a:extLst>
        </xdr:cNvPr>
        <xdr:cNvSpPr txBox="1"/>
      </xdr:nvSpPr>
      <xdr:spPr>
        <a:xfrm>
          <a:off x="1976438" y="3131342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0,22</a:t>
          </a:r>
        </a:p>
      </xdr:txBody>
    </xdr:sp>
    <xdr:clientData/>
  </xdr:twoCellAnchor>
  <xdr:twoCellAnchor>
    <xdr:from>
      <xdr:col>0</xdr:col>
      <xdr:colOff>1365250</xdr:colOff>
      <xdr:row>25</xdr:row>
      <xdr:rowOff>63500</xdr:rowOff>
    </xdr:from>
    <xdr:to>
      <xdr:col>0</xdr:col>
      <xdr:colOff>1889124</xdr:colOff>
      <xdr:row>26</xdr:row>
      <xdr:rowOff>134939</xdr:rowOff>
    </xdr:to>
    <xdr:sp macro="" textlink="">
      <xdr:nvSpPr>
        <xdr:cNvPr id="405" name="CuadroTexto 404">
          <a:extLst>
            <a:ext uri="{FF2B5EF4-FFF2-40B4-BE49-F238E27FC236}">
              <a16:creationId xmlns:a16="http://schemas.microsoft.com/office/drawing/2014/main" id="{A9B77FA7-C97F-4893-9AD5-DAE740CDDE76}"/>
            </a:ext>
          </a:extLst>
        </xdr:cNvPr>
        <xdr:cNvSpPr txBox="1"/>
      </xdr:nvSpPr>
      <xdr:spPr>
        <a:xfrm>
          <a:off x="1365250" y="4889500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0,30</a:t>
          </a:r>
        </a:p>
      </xdr:txBody>
    </xdr:sp>
    <xdr:clientData/>
  </xdr:twoCellAnchor>
  <xdr:twoCellAnchor>
    <xdr:from>
      <xdr:col>0</xdr:col>
      <xdr:colOff>2889250</xdr:colOff>
      <xdr:row>27</xdr:row>
      <xdr:rowOff>158750</xdr:rowOff>
    </xdr:from>
    <xdr:to>
      <xdr:col>1</xdr:col>
      <xdr:colOff>253999</xdr:colOff>
      <xdr:row>29</xdr:row>
      <xdr:rowOff>39689</xdr:rowOff>
    </xdr:to>
    <xdr:sp macro="" textlink="">
      <xdr:nvSpPr>
        <xdr:cNvPr id="406" name="CuadroTexto 405">
          <a:extLst>
            <a:ext uri="{FF2B5EF4-FFF2-40B4-BE49-F238E27FC236}">
              <a16:creationId xmlns:a16="http://schemas.microsoft.com/office/drawing/2014/main" id="{0BFA8924-A0D7-4FF7-BD83-56D31DD1C11F}"/>
            </a:ext>
          </a:extLst>
        </xdr:cNvPr>
        <xdr:cNvSpPr txBox="1"/>
      </xdr:nvSpPr>
      <xdr:spPr>
        <a:xfrm>
          <a:off x="2889250" y="5365750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0,40</a:t>
          </a:r>
        </a:p>
      </xdr:txBody>
    </xdr:sp>
    <xdr:clientData/>
  </xdr:twoCellAnchor>
  <xdr:twoCellAnchor>
    <xdr:from>
      <xdr:col>2</xdr:col>
      <xdr:colOff>63500</xdr:colOff>
      <xdr:row>25</xdr:row>
      <xdr:rowOff>47625</xdr:rowOff>
    </xdr:from>
    <xdr:to>
      <xdr:col>2</xdr:col>
      <xdr:colOff>587374</xdr:colOff>
      <xdr:row>26</xdr:row>
      <xdr:rowOff>119064</xdr:rowOff>
    </xdr:to>
    <xdr:sp macro="" textlink="">
      <xdr:nvSpPr>
        <xdr:cNvPr id="407" name="CuadroTexto 406">
          <a:extLst>
            <a:ext uri="{FF2B5EF4-FFF2-40B4-BE49-F238E27FC236}">
              <a16:creationId xmlns:a16="http://schemas.microsoft.com/office/drawing/2014/main" id="{63B3496C-54AA-4FAE-B56C-76AC622A8D0F}"/>
            </a:ext>
          </a:extLst>
        </xdr:cNvPr>
        <xdr:cNvSpPr txBox="1"/>
      </xdr:nvSpPr>
      <xdr:spPr>
        <a:xfrm>
          <a:off x="4381500" y="4873625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0,42</a:t>
          </a:r>
        </a:p>
      </xdr:txBody>
    </xdr:sp>
    <xdr:clientData/>
  </xdr:twoCellAnchor>
  <xdr:twoCellAnchor>
    <xdr:from>
      <xdr:col>1</xdr:col>
      <xdr:colOff>946150</xdr:colOff>
      <xdr:row>20</xdr:row>
      <xdr:rowOff>152400</xdr:rowOff>
    </xdr:from>
    <xdr:to>
      <xdr:col>2</xdr:col>
      <xdr:colOff>311149</xdr:colOff>
      <xdr:row>22</xdr:row>
      <xdr:rowOff>33339</xdr:rowOff>
    </xdr:to>
    <xdr:sp macro="" textlink="">
      <xdr:nvSpPr>
        <xdr:cNvPr id="408" name="CuadroTexto 407">
          <a:extLst>
            <a:ext uri="{FF2B5EF4-FFF2-40B4-BE49-F238E27FC236}">
              <a16:creationId xmlns:a16="http://schemas.microsoft.com/office/drawing/2014/main" id="{9ED5236D-8D30-4D2D-AF73-763CB75300EA}"/>
            </a:ext>
          </a:extLst>
        </xdr:cNvPr>
        <xdr:cNvSpPr txBox="1"/>
      </xdr:nvSpPr>
      <xdr:spPr>
        <a:xfrm>
          <a:off x="4105275" y="4025900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0,42</a:t>
          </a:r>
        </a:p>
      </xdr:txBody>
    </xdr:sp>
    <xdr:clientData/>
  </xdr:twoCellAnchor>
  <xdr:twoCellAnchor>
    <xdr:from>
      <xdr:col>4</xdr:col>
      <xdr:colOff>190500</xdr:colOff>
      <xdr:row>23</xdr:row>
      <xdr:rowOff>142875</xdr:rowOff>
    </xdr:from>
    <xdr:to>
      <xdr:col>4</xdr:col>
      <xdr:colOff>714374</xdr:colOff>
      <xdr:row>25</xdr:row>
      <xdr:rowOff>23814</xdr:rowOff>
    </xdr:to>
    <xdr:sp macro="" textlink="">
      <xdr:nvSpPr>
        <xdr:cNvPr id="409" name="CuadroTexto 408">
          <a:extLst>
            <a:ext uri="{FF2B5EF4-FFF2-40B4-BE49-F238E27FC236}">
              <a16:creationId xmlns:a16="http://schemas.microsoft.com/office/drawing/2014/main" id="{D97975AE-60DD-4284-8C7F-0E88873ED495}"/>
            </a:ext>
          </a:extLst>
        </xdr:cNvPr>
        <xdr:cNvSpPr txBox="1"/>
      </xdr:nvSpPr>
      <xdr:spPr>
        <a:xfrm>
          <a:off x="6889750" y="4587875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0,52</a:t>
          </a:r>
        </a:p>
      </xdr:txBody>
    </xdr:sp>
    <xdr:clientData/>
  </xdr:twoCellAnchor>
  <xdr:twoCellAnchor>
    <xdr:from>
      <xdr:col>3</xdr:col>
      <xdr:colOff>1089025</xdr:colOff>
      <xdr:row>28</xdr:row>
      <xdr:rowOff>120650</xdr:rowOff>
    </xdr:from>
    <xdr:to>
      <xdr:col>4</xdr:col>
      <xdr:colOff>469899</xdr:colOff>
      <xdr:row>30</xdr:row>
      <xdr:rowOff>1589</xdr:rowOff>
    </xdr:to>
    <xdr:sp macro="" textlink="">
      <xdr:nvSpPr>
        <xdr:cNvPr id="410" name="CuadroTexto 409">
          <a:extLst>
            <a:ext uri="{FF2B5EF4-FFF2-40B4-BE49-F238E27FC236}">
              <a16:creationId xmlns:a16="http://schemas.microsoft.com/office/drawing/2014/main" id="{D1CF93CE-C5D6-4851-BC8E-1F905D444B06}"/>
            </a:ext>
          </a:extLst>
        </xdr:cNvPr>
        <xdr:cNvSpPr txBox="1"/>
      </xdr:nvSpPr>
      <xdr:spPr>
        <a:xfrm>
          <a:off x="6645275" y="5518150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0,52</a:t>
          </a:r>
        </a:p>
      </xdr:txBody>
    </xdr:sp>
    <xdr:clientData/>
  </xdr:twoCellAnchor>
  <xdr:twoCellAnchor>
    <xdr:from>
      <xdr:col>5</xdr:col>
      <xdr:colOff>412750</xdr:colOff>
      <xdr:row>25</xdr:row>
      <xdr:rowOff>47625</xdr:rowOff>
    </xdr:from>
    <xdr:to>
      <xdr:col>6</xdr:col>
      <xdr:colOff>174624</xdr:colOff>
      <xdr:row>26</xdr:row>
      <xdr:rowOff>119064</xdr:rowOff>
    </xdr:to>
    <xdr:sp macro="" textlink="">
      <xdr:nvSpPr>
        <xdr:cNvPr id="411" name="CuadroTexto 410">
          <a:extLst>
            <a:ext uri="{FF2B5EF4-FFF2-40B4-BE49-F238E27FC236}">
              <a16:creationId xmlns:a16="http://schemas.microsoft.com/office/drawing/2014/main" id="{AC2260C5-55B1-4461-A6BC-0F9FCF27E1FD}"/>
            </a:ext>
          </a:extLst>
        </xdr:cNvPr>
        <xdr:cNvSpPr txBox="1"/>
      </xdr:nvSpPr>
      <xdr:spPr>
        <a:xfrm>
          <a:off x="8763000" y="4873625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0,62</a:t>
          </a:r>
        </a:p>
      </xdr:txBody>
    </xdr:sp>
    <xdr:clientData/>
  </xdr:twoCellAnchor>
  <xdr:twoCellAnchor>
    <xdr:from>
      <xdr:col>5</xdr:col>
      <xdr:colOff>142875</xdr:colOff>
      <xdr:row>28</xdr:row>
      <xdr:rowOff>174625</xdr:rowOff>
    </xdr:from>
    <xdr:to>
      <xdr:col>5</xdr:col>
      <xdr:colOff>666749</xdr:colOff>
      <xdr:row>30</xdr:row>
      <xdr:rowOff>55564</xdr:rowOff>
    </xdr:to>
    <xdr:sp macro="" textlink="">
      <xdr:nvSpPr>
        <xdr:cNvPr id="412" name="CuadroTexto 411">
          <a:extLst>
            <a:ext uri="{FF2B5EF4-FFF2-40B4-BE49-F238E27FC236}">
              <a16:creationId xmlns:a16="http://schemas.microsoft.com/office/drawing/2014/main" id="{232DB910-6004-4A2D-9F11-E1DA639AB049}"/>
            </a:ext>
          </a:extLst>
        </xdr:cNvPr>
        <xdr:cNvSpPr txBox="1"/>
      </xdr:nvSpPr>
      <xdr:spPr>
        <a:xfrm>
          <a:off x="8493125" y="5572125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0,62</a:t>
          </a:r>
        </a:p>
      </xdr:txBody>
    </xdr:sp>
    <xdr:clientData/>
  </xdr:twoCellAnchor>
  <xdr:twoCellAnchor>
    <xdr:from>
      <xdr:col>7</xdr:col>
      <xdr:colOff>508000</xdr:colOff>
      <xdr:row>22</xdr:row>
      <xdr:rowOff>31750</xdr:rowOff>
    </xdr:from>
    <xdr:to>
      <xdr:col>7</xdr:col>
      <xdr:colOff>1031874</xdr:colOff>
      <xdr:row>23</xdr:row>
      <xdr:rowOff>103189</xdr:rowOff>
    </xdr:to>
    <xdr:sp macro="" textlink="">
      <xdr:nvSpPr>
        <xdr:cNvPr id="413" name="CuadroTexto 412">
          <a:extLst>
            <a:ext uri="{FF2B5EF4-FFF2-40B4-BE49-F238E27FC236}">
              <a16:creationId xmlns:a16="http://schemas.microsoft.com/office/drawing/2014/main" id="{8C988598-1B10-490D-B954-56E8A95A215E}"/>
            </a:ext>
          </a:extLst>
        </xdr:cNvPr>
        <xdr:cNvSpPr txBox="1"/>
      </xdr:nvSpPr>
      <xdr:spPr>
        <a:xfrm>
          <a:off x="10382250" y="4286250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0,40</a:t>
          </a:r>
        </a:p>
      </xdr:txBody>
    </xdr:sp>
    <xdr:clientData/>
  </xdr:twoCellAnchor>
  <xdr:twoCellAnchor>
    <xdr:from>
      <xdr:col>5</xdr:col>
      <xdr:colOff>555625</xdr:colOff>
      <xdr:row>18</xdr:row>
      <xdr:rowOff>63500</xdr:rowOff>
    </xdr:from>
    <xdr:to>
      <xdr:col>6</xdr:col>
      <xdr:colOff>317499</xdr:colOff>
      <xdr:row>19</xdr:row>
      <xdr:rowOff>134939</xdr:rowOff>
    </xdr:to>
    <xdr:sp macro="" textlink="">
      <xdr:nvSpPr>
        <xdr:cNvPr id="414" name="CuadroTexto 413">
          <a:extLst>
            <a:ext uri="{FF2B5EF4-FFF2-40B4-BE49-F238E27FC236}">
              <a16:creationId xmlns:a16="http://schemas.microsoft.com/office/drawing/2014/main" id="{FEC329FF-76BC-4F95-9FEC-20E70CAD62FF}"/>
            </a:ext>
          </a:extLst>
        </xdr:cNvPr>
        <xdr:cNvSpPr txBox="1"/>
      </xdr:nvSpPr>
      <xdr:spPr>
        <a:xfrm>
          <a:off x="8905875" y="3556000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0,52</a:t>
          </a:r>
        </a:p>
      </xdr:txBody>
    </xdr:sp>
    <xdr:clientData/>
  </xdr:twoCellAnchor>
  <xdr:twoCellAnchor>
    <xdr:from>
      <xdr:col>7</xdr:col>
      <xdr:colOff>845110</xdr:colOff>
      <xdr:row>17</xdr:row>
      <xdr:rowOff>108324</xdr:rowOff>
    </xdr:from>
    <xdr:to>
      <xdr:col>7</xdr:col>
      <xdr:colOff>1368984</xdr:colOff>
      <xdr:row>18</xdr:row>
      <xdr:rowOff>179763</xdr:rowOff>
    </xdr:to>
    <xdr:sp macro="" textlink="">
      <xdr:nvSpPr>
        <xdr:cNvPr id="415" name="CuadroTexto 414">
          <a:extLst>
            <a:ext uri="{FF2B5EF4-FFF2-40B4-BE49-F238E27FC236}">
              <a16:creationId xmlns:a16="http://schemas.microsoft.com/office/drawing/2014/main" id="{DEBD2FF4-E0CE-43F0-8B4C-B1F8FEDB9820}"/>
            </a:ext>
          </a:extLst>
        </xdr:cNvPr>
        <xdr:cNvSpPr txBox="1"/>
      </xdr:nvSpPr>
      <xdr:spPr>
        <a:xfrm>
          <a:off x="10739904" y="3402853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0,40</a:t>
          </a:r>
        </a:p>
      </xdr:txBody>
    </xdr:sp>
    <xdr:clientData/>
  </xdr:twoCellAnchor>
  <xdr:twoCellAnchor>
    <xdr:from>
      <xdr:col>8</xdr:col>
      <xdr:colOff>444500</xdr:colOff>
      <xdr:row>20</xdr:row>
      <xdr:rowOff>15875</xdr:rowOff>
    </xdr:from>
    <xdr:to>
      <xdr:col>8</xdr:col>
      <xdr:colOff>968374</xdr:colOff>
      <xdr:row>21</xdr:row>
      <xdr:rowOff>87314</xdr:rowOff>
    </xdr:to>
    <xdr:sp macro="" textlink="">
      <xdr:nvSpPr>
        <xdr:cNvPr id="416" name="CuadroTexto 415">
          <a:extLst>
            <a:ext uri="{FF2B5EF4-FFF2-40B4-BE49-F238E27FC236}">
              <a16:creationId xmlns:a16="http://schemas.microsoft.com/office/drawing/2014/main" id="{913801D6-85B8-4B6D-9948-B8E0160869FF}"/>
            </a:ext>
          </a:extLst>
        </xdr:cNvPr>
        <xdr:cNvSpPr txBox="1"/>
      </xdr:nvSpPr>
      <xdr:spPr>
        <a:xfrm>
          <a:off x="11811000" y="3889375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0,62</a:t>
          </a:r>
        </a:p>
      </xdr:txBody>
    </xdr:sp>
    <xdr:clientData/>
  </xdr:twoCellAnchor>
  <xdr:twoCellAnchor>
    <xdr:from>
      <xdr:col>7</xdr:col>
      <xdr:colOff>1111250</xdr:colOff>
      <xdr:row>29</xdr:row>
      <xdr:rowOff>111125</xdr:rowOff>
    </xdr:from>
    <xdr:to>
      <xdr:col>8</xdr:col>
      <xdr:colOff>142874</xdr:colOff>
      <xdr:row>30</xdr:row>
      <xdr:rowOff>182564</xdr:rowOff>
    </xdr:to>
    <xdr:sp macro="" textlink="">
      <xdr:nvSpPr>
        <xdr:cNvPr id="417" name="CuadroTexto 416">
          <a:extLst>
            <a:ext uri="{FF2B5EF4-FFF2-40B4-BE49-F238E27FC236}">
              <a16:creationId xmlns:a16="http://schemas.microsoft.com/office/drawing/2014/main" id="{8B5EDCD3-D4E4-4B9B-9E06-A30E7D919013}"/>
            </a:ext>
          </a:extLst>
        </xdr:cNvPr>
        <xdr:cNvSpPr txBox="1"/>
      </xdr:nvSpPr>
      <xdr:spPr>
        <a:xfrm>
          <a:off x="10985500" y="5699125"/>
          <a:ext cx="523874" cy="2619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>
              <a:solidFill>
                <a:sysClr val="windowText" lastClr="000000"/>
              </a:solidFill>
            </a:rPr>
            <a:t>0,52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topLeftCell="J25" zoomScale="115" zoomScaleNormal="115" workbookViewId="0">
      <selection activeCell="E45" sqref="E45"/>
    </sheetView>
  </sheetViews>
  <sheetFormatPr baseColWidth="10" defaultColWidth="11.42578125" defaultRowHeight="15" x14ac:dyDescent="0.25"/>
  <cols>
    <col min="1" max="1" width="47.42578125" customWidth="1"/>
    <col min="2" max="2" width="17.42578125" customWidth="1"/>
    <col min="3" max="3" width="18.5703125" customWidth="1"/>
    <col min="4" max="4" width="17.140625" customWidth="1"/>
    <col min="5" max="5" width="24.85546875" customWidth="1"/>
    <col min="8" max="8" width="22.28515625" customWidth="1"/>
    <col min="9" max="9" width="24.28515625" customWidth="1"/>
    <col min="10" max="10" width="5.42578125" customWidth="1"/>
    <col min="11" max="11" width="26.5703125" customWidth="1"/>
    <col min="12" max="12" width="14.7109375" customWidth="1"/>
    <col min="13" max="13" width="11.140625" customWidth="1"/>
    <col min="14" max="14" width="15.5703125" bestFit="1" customWidth="1"/>
    <col min="15" max="15" width="12.42578125" customWidth="1"/>
  </cols>
  <sheetData>
    <row r="1" spans="1:15" ht="19.5" customHeight="1" x14ac:dyDescent="0.25">
      <c r="A1" s="38" t="s">
        <v>0</v>
      </c>
      <c r="B1" s="38" t="s">
        <v>1</v>
      </c>
      <c r="C1" s="38"/>
      <c r="D1" s="38"/>
      <c r="E1" s="14" t="s">
        <v>2</v>
      </c>
      <c r="G1" s="38" t="s">
        <v>0</v>
      </c>
      <c r="H1" s="16" t="s">
        <v>30</v>
      </c>
      <c r="I1" s="16" t="s">
        <v>2</v>
      </c>
      <c r="J1" s="2"/>
      <c r="K1" s="16" t="s">
        <v>3</v>
      </c>
      <c r="L1" s="16" t="s">
        <v>4</v>
      </c>
      <c r="N1" s="38" t="s">
        <v>5</v>
      </c>
      <c r="O1" s="38"/>
    </row>
    <row r="2" spans="1:15" x14ac:dyDescent="0.25">
      <c r="A2" s="38"/>
      <c r="B2" s="17" t="s">
        <v>6</v>
      </c>
      <c r="C2" s="17" t="s">
        <v>7</v>
      </c>
      <c r="D2" s="17" t="s">
        <v>8</v>
      </c>
      <c r="E2" s="15" t="s">
        <v>9</v>
      </c>
      <c r="G2" s="38"/>
      <c r="H2" s="17" t="s">
        <v>10</v>
      </c>
      <c r="I2" s="16" t="s">
        <v>9</v>
      </c>
      <c r="J2" s="2"/>
      <c r="K2" s="20" t="s">
        <v>58</v>
      </c>
      <c r="L2" s="21">
        <f>(H3+H4+H5+H7+H8+H9+H10+H11+H12+H14+H15+H16)</f>
        <v>5.5333333333333323</v>
      </c>
      <c r="N2" s="33" t="s">
        <v>11</v>
      </c>
      <c r="O2" s="33"/>
    </row>
    <row r="3" spans="1:15" x14ac:dyDescent="0.25">
      <c r="A3" s="13" t="s">
        <v>32</v>
      </c>
      <c r="B3" s="1">
        <v>0.1</v>
      </c>
      <c r="C3" s="1">
        <v>0.2</v>
      </c>
      <c r="D3" s="1">
        <v>0.4</v>
      </c>
      <c r="E3" s="1" t="s">
        <v>49</v>
      </c>
      <c r="G3" s="1" t="s">
        <v>12</v>
      </c>
      <c r="H3" s="5">
        <f>(B3+4*C3+D3)/6</f>
        <v>0.21666666666666667</v>
      </c>
      <c r="I3" s="1" t="s">
        <v>21</v>
      </c>
      <c r="K3" s="1" t="s">
        <v>57</v>
      </c>
      <c r="L3" s="5">
        <f>(H3+H4+H5+H6+H7+H8+H9+H10+H11+H12+H13+H16)</f>
        <v>5.45</v>
      </c>
      <c r="N3" s="27" t="s">
        <v>12</v>
      </c>
      <c r="O3" s="27">
        <f>((D3-B3)/6)^2</f>
        <v>2.5000000000000009E-3</v>
      </c>
    </row>
    <row r="4" spans="1:15" x14ac:dyDescent="0.25">
      <c r="A4" s="13" t="s">
        <v>33</v>
      </c>
      <c r="B4" s="1">
        <v>0.2</v>
      </c>
      <c r="C4" s="1">
        <v>0.3</v>
      </c>
      <c r="D4" s="1">
        <v>0.4</v>
      </c>
      <c r="E4" s="1" t="s">
        <v>12</v>
      </c>
      <c r="G4" s="1" t="s">
        <v>14</v>
      </c>
      <c r="H4" s="5">
        <f t="shared" ref="H4:H15" si="0">(B4+4*C4+D4)/6</f>
        <v>0.3</v>
      </c>
      <c r="I4" s="1" t="s">
        <v>12</v>
      </c>
      <c r="J4" s="2"/>
      <c r="K4" s="1" t="s">
        <v>59</v>
      </c>
      <c r="L4" s="5">
        <f>(H3+H4+H5+H7+H8+H9+H10+H11+H12+H16)</f>
        <v>4.5166666666666657</v>
      </c>
      <c r="N4" s="27" t="s">
        <v>14</v>
      </c>
      <c r="O4" s="27">
        <f>((D4-B4)/6)^2</f>
        <v>1.1111111111111111E-3</v>
      </c>
    </row>
    <row r="5" spans="1:15" x14ac:dyDescent="0.25">
      <c r="A5" s="13" t="s">
        <v>34</v>
      </c>
      <c r="B5" s="1">
        <v>0.2</v>
      </c>
      <c r="C5" s="1">
        <v>0.4</v>
      </c>
      <c r="D5" s="1">
        <v>0.6</v>
      </c>
      <c r="E5" s="1" t="s">
        <v>14</v>
      </c>
      <c r="G5" s="1" t="s">
        <v>15</v>
      </c>
      <c r="H5" s="5">
        <f t="shared" si="0"/>
        <v>0.39999999999999997</v>
      </c>
      <c r="I5" s="1" t="s">
        <v>14</v>
      </c>
      <c r="J5" s="2"/>
      <c r="K5" s="1" t="s">
        <v>60</v>
      </c>
      <c r="L5" s="5">
        <f>(H3+H4+H5+H7+H8+H9+H11+H12+H16)</f>
        <v>3.8999999999999995</v>
      </c>
      <c r="N5" s="27" t="s">
        <v>15</v>
      </c>
      <c r="O5" s="27">
        <f t="shared" ref="O5:O16" si="1">((D5-B5)/6)^2</f>
        <v>4.4444444444444444E-3</v>
      </c>
    </row>
    <row r="6" spans="1:15" x14ac:dyDescent="0.25">
      <c r="A6" s="13" t="s">
        <v>35</v>
      </c>
      <c r="B6" s="1">
        <v>0.3</v>
      </c>
      <c r="C6" s="1">
        <v>0.4</v>
      </c>
      <c r="D6" s="1">
        <v>0.6</v>
      </c>
      <c r="E6" s="1" t="s">
        <v>15</v>
      </c>
      <c r="G6" s="1" t="s">
        <v>16</v>
      </c>
      <c r="H6" s="5">
        <f t="shared" si="0"/>
        <v>0.41666666666666669</v>
      </c>
      <c r="I6" s="1" t="s">
        <v>15</v>
      </c>
      <c r="J6" s="2"/>
      <c r="K6" s="1" t="s">
        <v>61</v>
      </c>
      <c r="L6" s="5">
        <f>(H3+H4+H5+H6+H13+H16)</f>
        <v>2.3666666666666663</v>
      </c>
      <c r="N6" s="27" t="s">
        <v>16</v>
      </c>
      <c r="O6" s="27">
        <f t="shared" si="1"/>
        <v>2.4999999999999996E-3</v>
      </c>
    </row>
    <row r="7" spans="1:15" x14ac:dyDescent="0.25">
      <c r="A7" s="13" t="s">
        <v>36</v>
      </c>
      <c r="B7" s="1">
        <v>0.3</v>
      </c>
      <c r="C7" s="1">
        <v>0.4</v>
      </c>
      <c r="D7" s="1">
        <v>0.6</v>
      </c>
      <c r="E7" s="1" t="s">
        <v>51</v>
      </c>
      <c r="G7" s="1" t="s">
        <v>17</v>
      </c>
      <c r="H7" s="5">
        <f>(B7+4*C7+D7)/6</f>
        <v>0.41666666666666669</v>
      </c>
      <c r="I7" s="1" t="s">
        <v>51</v>
      </c>
      <c r="J7" s="2"/>
      <c r="K7" s="1" t="s">
        <v>63</v>
      </c>
      <c r="L7" s="5">
        <f>(H3+H14+H15+H16)</f>
        <v>1.75</v>
      </c>
      <c r="N7" s="27" t="s">
        <v>17</v>
      </c>
      <c r="O7" s="27">
        <f t="shared" si="1"/>
        <v>2.4999999999999996E-3</v>
      </c>
    </row>
    <row r="8" spans="1:15" x14ac:dyDescent="0.25">
      <c r="A8" s="13" t="s">
        <v>37</v>
      </c>
      <c r="B8" s="1">
        <v>0.4</v>
      </c>
      <c r="C8" s="1">
        <v>0.5</v>
      </c>
      <c r="D8" s="1">
        <v>0.7</v>
      </c>
      <c r="E8" s="1" t="s">
        <v>17</v>
      </c>
      <c r="G8" s="1" t="s">
        <v>18</v>
      </c>
      <c r="H8" s="5">
        <f t="shared" si="0"/>
        <v>0.51666666666666661</v>
      </c>
      <c r="I8" s="1" t="s">
        <v>17</v>
      </c>
      <c r="J8" s="2"/>
      <c r="K8" s="1" t="s">
        <v>62</v>
      </c>
      <c r="L8" s="5">
        <f>(H3+H4+H13+H16)</f>
        <v>1.5499999999999998</v>
      </c>
      <c r="N8" s="27" t="s">
        <v>18</v>
      </c>
      <c r="O8" s="27">
        <f t="shared" si="1"/>
        <v>2.4999999999999988E-3</v>
      </c>
    </row>
    <row r="9" spans="1:15" x14ac:dyDescent="0.25">
      <c r="A9" s="13" t="s">
        <v>42</v>
      </c>
      <c r="B9" s="1">
        <v>0.4</v>
      </c>
      <c r="C9" s="1">
        <v>0.5</v>
      </c>
      <c r="D9" s="1">
        <v>0.7</v>
      </c>
      <c r="E9" s="1" t="s">
        <v>18</v>
      </c>
      <c r="G9" s="1" t="s">
        <v>20</v>
      </c>
      <c r="H9" s="5">
        <f t="shared" si="0"/>
        <v>0.51666666666666661</v>
      </c>
      <c r="I9" s="1" t="s">
        <v>18</v>
      </c>
      <c r="J9" s="2"/>
      <c r="K9" s="1" t="s">
        <v>64</v>
      </c>
      <c r="L9" s="5">
        <f>(H3+H12+H16)</f>
        <v>1.1333333333333333</v>
      </c>
      <c r="N9" s="27" t="s">
        <v>20</v>
      </c>
      <c r="O9" s="27">
        <f t="shared" si="1"/>
        <v>2.4999999999999988E-3</v>
      </c>
    </row>
    <row r="10" spans="1:15" x14ac:dyDescent="0.25">
      <c r="A10" s="13" t="s">
        <v>41</v>
      </c>
      <c r="B10" s="1">
        <v>0.5</v>
      </c>
      <c r="C10" s="1">
        <v>0.6</v>
      </c>
      <c r="D10" s="1">
        <v>0.8</v>
      </c>
      <c r="E10" s="1" t="s">
        <v>20</v>
      </c>
      <c r="G10" s="1" t="s">
        <v>19</v>
      </c>
      <c r="H10" s="5">
        <f t="shared" si="0"/>
        <v>0.6166666666666667</v>
      </c>
      <c r="I10" s="1" t="s">
        <v>20</v>
      </c>
      <c r="J10" s="2"/>
      <c r="K10" s="1"/>
      <c r="L10" s="5"/>
      <c r="N10" s="27" t="s">
        <v>19</v>
      </c>
      <c r="O10" s="27">
        <f t="shared" si="1"/>
        <v>2.5000000000000009E-3</v>
      </c>
    </row>
    <row r="11" spans="1:15" x14ac:dyDescent="0.25">
      <c r="A11" s="13" t="s">
        <v>40</v>
      </c>
      <c r="B11" s="1">
        <v>0.5</v>
      </c>
      <c r="C11" s="1">
        <v>0.6</v>
      </c>
      <c r="D11" s="1">
        <v>0.8</v>
      </c>
      <c r="E11" s="1" t="s">
        <v>52</v>
      </c>
      <c r="G11" s="1" t="s">
        <v>13</v>
      </c>
      <c r="H11" s="5">
        <f t="shared" si="0"/>
        <v>0.6166666666666667</v>
      </c>
      <c r="I11" s="1" t="s">
        <v>52</v>
      </c>
      <c r="J11" s="2"/>
      <c r="K11" s="1"/>
      <c r="L11" s="5"/>
      <c r="N11" s="27" t="s">
        <v>13</v>
      </c>
      <c r="O11" s="27">
        <f t="shared" si="1"/>
        <v>2.5000000000000009E-3</v>
      </c>
    </row>
    <row r="12" spans="1:15" x14ac:dyDescent="0.25">
      <c r="A12" s="24" t="s">
        <v>39</v>
      </c>
      <c r="B12" s="4">
        <v>0.2</v>
      </c>
      <c r="C12" s="4">
        <v>0.4</v>
      </c>
      <c r="D12" s="4">
        <v>0.6</v>
      </c>
      <c r="E12" s="4" t="s">
        <v>53</v>
      </c>
      <c r="G12" s="4" t="s">
        <v>22</v>
      </c>
      <c r="H12" s="25">
        <f t="shared" si="0"/>
        <v>0.39999999999999997</v>
      </c>
      <c r="I12" s="4" t="s">
        <v>53</v>
      </c>
      <c r="J12" s="2"/>
      <c r="K12" s="1"/>
      <c r="L12" s="7"/>
      <c r="N12" s="27" t="s">
        <v>22</v>
      </c>
      <c r="O12" s="27">
        <f t="shared" si="1"/>
        <v>4.4444444444444444E-3</v>
      </c>
    </row>
    <row r="13" spans="1:15" x14ac:dyDescent="0.25">
      <c r="A13" s="13" t="s">
        <v>38</v>
      </c>
      <c r="B13" s="1">
        <v>0.4</v>
      </c>
      <c r="C13" s="1">
        <v>0.5</v>
      </c>
      <c r="D13" s="1">
        <v>0.7</v>
      </c>
      <c r="E13" s="1" t="s">
        <v>54</v>
      </c>
      <c r="F13" s="26"/>
      <c r="G13" s="4" t="s">
        <v>45</v>
      </c>
      <c r="H13" s="25">
        <f t="shared" si="0"/>
        <v>0.51666666666666661</v>
      </c>
      <c r="I13" s="1" t="s">
        <v>54</v>
      </c>
      <c r="J13" s="2"/>
      <c r="K13" s="4"/>
      <c r="L13" s="8"/>
      <c r="N13" s="27" t="s">
        <v>45</v>
      </c>
      <c r="O13" s="27">
        <f t="shared" si="1"/>
        <v>2.4999999999999988E-3</v>
      </c>
    </row>
    <row r="14" spans="1:15" x14ac:dyDescent="0.25">
      <c r="A14" s="13" t="s">
        <v>55</v>
      </c>
      <c r="B14" s="1">
        <v>0.2</v>
      </c>
      <c r="C14" s="1">
        <v>0.4</v>
      </c>
      <c r="D14" s="1">
        <v>0.6</v>
      </c>
      <c r="E14" s="1" t="s">
        <v>56</v>
      </c>
      <c r="F14" s="26"/>
      <c r="G14" s="1" t="s">
        <v>46</v>
      </c>
      <c r="H14" s="25">
        <f t="shared" si="0"/>
        <v>0.39999999999999997</v>
      </c>
      <c r="I14" s="1" t="s">
        <v>56</v>
      </c>
      <c r="J14" s="2"/>
      <c r="K14" s="4"/>
      <c r="L14" s="8"/>
      <c r="N14" s="27" t="s">
        <v>46</v>
      </c>
      <c r="O14" s="27">
        <f t="shared" si="1"/>
        <v>4.4444444444444444E-3</v>
      </c>
    </row>
    <row r="15" spans="1:15" x14ac:dyDescent="0.25">
      <c r="A15" s="13" t="s">
        <v>43</v>
      </c>
      <c r="B15" s="1">
        <v>0.5</v>
      </c>
      <c r="C15" s="1">
        <v>0.6</v>
      </c>
      <c r="D15" s="1">
        <v>0.8</v>
      </c>
      <c r="E15" s="1" t="s">
        <v>46</v>
      </c>
      <c r="F15" s="26"/>
      <c r="G15" s="1" t="s">
        <v>47</v>
      </c>
      <c r="H15" s="25">
        <f t="shared" si="0"/>
        <v>0.6166666666666667</v>
      </c>
      <c r="I15" s="1" t="s">
        <v>46</v>
      </c>
      <c r="J15" s="2"/>
      <c r="K15" s="4"/>
      <c r="L15" s="8"/>
      <c r="N15" s="27" t="s">
        <v>47</v>
      </c>
      <c r="O15" s="27">
        <f t="shared" si="1"/>
        <v>2.5000000000000009E-3</v>
      </c>
    </row>
    <row r="16" spans="1:15" x14ac:dyDescent="0.25">
      <c r="A16" s="13" t="s">
        <v>44</v>
      </c>
      <c r="B16" s="1">
        <v>0.4</v>
      </c>
      <c r="C16" s="1">
        <v>0.5</v>
      </c>
      <c r="D16" s="1">
        <v>0.7</v>
      </c>
      <c r="E16" s="1" t="s">
        <v>50</v>
      </c>
      <c r="F16" s="26"/>
      <c r="G16" s="1" t="s">
        <v>48</v>
      </c>
      <c r="H16" s="23">
        <f>(B16+4*C16+D16)/6</f>
        <v>0.51666666666666661</v>
      </c>
      <c r="I16" s="1" t="s">
        <v>50</v>
      </c>
      <c r="J16" s="2"/>
      <c r="K16" s="4"/>
      <c r="L16" s="8"/>
      <c r="N16" s="27" t="s">
        <v>48</v>
      </c>
      <c r="O16" s="27">
        <f t="shared" si="1"/>
        <v>2.4999999999999988E-3</v>
      </c>
    </row>
    <row r="17" spans="1:15" x14ac:dyDescent="0.25">
      <c r="A17" s="22"/>
      <c r="H17" s="6"/>
      <c r="K17" s="4"/>
      <c r="L17" s="8"/>
    </row>
    <row r="18" spans="1:15" x14ac:dyDescent="0.25">
      <c r="J18" s="2"/>
      <c r="K18" s="18"/>
      <c r="L18" s="19"/>
      <c r="N18" s="34" t="s">
        <v>23</v>
      </c>
      <c r="O18" s="34"/>
    </row>
    <row r="19" spans="1:15" x14ac:dyDescent="0.25">
      <c r="J19" s="2"/>
      <c r="K19" s="3"/>
      <c r="L19" s="9"/>
      <c r="N19" s="2"/>
      <c r="O19" s="10"/>
    </row>
    <row r="20" spans="1:15" x14ac:dyDescent="0.25">
      <c r="J20" s="2"/>
      <c r="K20" s="1"/>
      <c r="L20" s="7"/>
      <c r="N20" s="28" t="s">
        <v>25</v>
      </c>
      <c r="O20" s="29">
        <f>O3+O4+O5+O7+O8+O9+O10+O11+O12+O14+O15+O16</f>
        <v>3.4444444444444444E-2</v>
      </c>
    </row>
    <row r="21" spans="1:15" x14ac:dyDescent="0.25">
      <c r="J21" s="2"/>
      <c r="K21" s="1"/>
      <c r="L21" s="7"/>
    </row>
    <row r="22" spans="1:15" x14ac:dyDescent="0.25">
      <c r="J22" s="2"/>
      <c r="K22" s="1"/>
      <c r="L22" s="7"/>
      <c r="N22" s="35" t="s">
        <v>26</v>
      </c>
      <c r="O22" s="35"/>
    </row>
    <row r="23" spans="1:15" x14ac:dyDescent="0.25">
      <c r="J23" s="2"/>
      <c r="K23" s="1"/>
      <c r="L23" s="7"/>
      <c r="N23" s="36" t="s">
        <v>27</v>
      </c>
      <c r="O23" s="37"/>
    </row>
    <row r="24" spans="1:15" x14ac:dyDescent="0.25">
      <c r="J24" s="2"/>
      <c r="K24" s="1"/>
      <c r="L24" s="7"/>
      <c r="N24" s="32">
        <f>SQRT(O20)</f>
        <v>0.18559214542766739</v>
      </c>
      <c r="O24" s="32"/>
    </row>
    <row r="25" spans="1:15" x14ac:dyDescent="0.25">
      <c r="J25" s="2"/>
      <c r="K25" s="1"/>
      <c r="L25" s="7"/>
    </row>
    <row r="26" spans="1:15" x14ac:dyDescent="0.25">
      <c r="J26" s="2"/>
      <c r="K26" s="1"/>
      <c r="L26" s="7"/>
      <c r="N26" s="16" t="s">
        <v>29</v>
      </c>
    </row>
    <row r="27" spans="1:15" x14ac:dyDescent="0.25">
      <c r="J27" s="2"/>
      <c r="K27" s="1"/>
      <c r="L27" s="7"/>
      <c r="N27" s="17" t="s">
        <v>24</v>
      </c>
    </row>
    <row r="28" spans="1:15" x14ac:dyDescent="0.25">
      <c r="J28" s="2"/>
      <c r="K28" s="1"/>
      <c r="L28" s="5"/>
      <c r="N28" s="17" t="s">
        <v>31</v>
      </c>
    </row>
    <row r="29" spans="1:15" x14ac:dyDescent="0.25">
      <c r="J29" s="2"/>
      <c r="K29" s="1"/>
      <c r="L29" s="5"/>
      <c r="N29" s="30">
        <f>(8-5.53)/N24</f>
        <v>13.30875288018402</v>
      </c>
    </row>
    <row r="30" spans="1:15" x14ac:dyDescent="0.25">
      <c r="J30" s="2"/>
      <c r="K30" s="1"/>
      <c r="L30" s="5"/>
    </row>
    <row r="31" spans="1:15" x14ac:dyDescent="0.25">
      <c r="J31" s="2"/>
      <c r="K31" s="1"/>
      <c r="L31" s="5"/>
      <c r="N31" s="33" t="s">
        <v>28</v>
      </c>
      <c r="O31" s="33"/>
    </row>
    <row r="32" spans="1:15" x14ac:dyDescent="0.25">
      <c r="J32" s="2"/>
      <c r="K32" s="1"/>
      <c r="L32" s="5"/>
      <c r="N32" s="31">
        <v>0.57530000000000003</v>
      </c>
      <c r="O32" s="31"/>
    </row>
    <row r="33" spans="1:12" x14ac:dyDescent="0.25">
      <c r="J33" s="2"/>
      <c r="K33" s="1"/>
      <c r="L33" s="5"/>
    </row>
    <row r="35" spans="1:12" x14ac:dyDescent="0.25">
      <c r="A35" s="11"/>
    </row>
    <row r="36" spans="1:12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12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38" spans="1:12" x14ac:dyDescent="0.25">
      <c r="A38" s="12"/>
      <c r="B38" s="12"/>
      <c r="C38" s="12"/>
      <c r="D38" s="12"/>
      <c r="E38" s="12"/>
      <c r="F38" s="12"/>
      <c r="G38" s="12"/>
      <c r="H38" s="12"/>
      <c r="I38" s="12"/>
    </row>
  </sheetData>
  <mergeCells count="11">
    <mergeCell ref="N1:O1"/>
    <mergeCell ref="N2:O2"/>
    <mergeCell ref="A1:A2"/>
    <mergeCell ref="B1:D1"/>
    <mergeCell ref="G1:G2"/>
    <mergeCell ref="N32:O32"/>
    <mergeCell ref="N24:O24"/>
    <mergeCell ref="N31:O31"/>
    <mergeCell ref="N18:O18"/>
    <mergeCell ref="N22:O22"/>
    <mergeCell ref="N23:O23"/>
  </mergeCells>
  <conditionalFormatting sqref="G34 M19:M33 H34:H35 M2:M9">
    <cfRule type="duplicateValues" dxfId="3" priority="62"/>
  </conditionalFormatting>
  <conditionalFormatting sqref="K2:K28">
    <cfRule type="duplicateValues" dxfId="2" priority="57"/>
  </conditionalFormatting>
  <conditionalFormatting sqref="K2:K33 F34">
    <cfRule type="duplicateValues" dxfId="1" priority="48"/>
  </conditionalFormatting>
  <conditionalFormatting sqref="K2:K33">
    <cfRule type="duplicateValues" dxfId="0" priority="59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</dc:creator>
  <cp:keywords/>
  <dc:description/>
  <cp:lastModifiedBy>IDS</cp:lastModifiedBy>
  <cp:revision/>
  <dcterms:created xsi:type="dcterms:W3CDTF">2022-10-15T19:55:04Z</dcterms:created>
  <dcterms:modified xsi:type="dcterms:W3CDTF">2026-02-23T22:34:43Z</dcterms:modified>
  <cp:category/>
  <cp:contentStatus/>
</cp:coreProperties>
</file>