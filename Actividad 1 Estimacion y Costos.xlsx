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S\Documents\2_IDS Ingenieria de desarrollo de software\4º Cuatrimestre\3er_curso_Ingeniería_de_Software_II\2_Actividad 1\"/>
    </mc:Choice>
  </mc:AlternateContent>
  <xr:revisionPtr revIDLastSave="0" documentId="13_ncr:1_{8365DDDD-DC82-4459-A881-F20E624F785F}" xr6:coauthVersionLast="37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Estimación" sheetId="1" r:id="rId1"/>
    <sheet name="Costo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18" i="1" s="1"/>
  <c r="H8" i="1"/>
  <c r="H9" i="1"/>
  <c r="H10" i="1"/>
  <c r="H11" i="1"/>
  <c r="H12" i="1"/>
  <c r="H13" i="1"/>
  <c r="H14" i="1"/>
  <c r="H15" i="1"/>
  <c r="H16" i="1"/>
  <c r="H17" i="1"/>
  <c r="J8" i="1" l="1"/>
  <c r="C5" i="2" l="1"/>
  <c r="K8" i="1"/>
  <c r="C6" i="2" l="1"/>
  <c r="K22" i="1"/>
  <c r="L8" i="1"/>
  <c r="F5" i="2"/>
  <c r="F9" i="2" s="1"/>
  <c r="E5" i="2"/>
  <c r="E9" i="2" s="1"/>
  <c r="C9" i="2"/>
  <c r="D5" i="2"/>
  <c r="D9" i="2" s="1"/>
  <c r="K23" i="1" l="1"/>
  <c r="M8" i="1"/>
  <c r="C7" i="2"/>
  <c r="N22" i="1"/>
  <c r="M22" i="1"/>
  <c r="L22" i="1"/>
  <c r="C16" i="2"/>
  <c r="C15" i="2"/>
  <c r="C14" i="2"/>
  <c r="C13" i="2"/>
  <c r="F6" i="2"/>
  <c r="D6" i="2"/>
  <c r="E6" i="2"/>
  <c r="F16" i="2" l="1"/>
  <c r="D16" i="2"/>
  <c r="E16" i="2"/>
  <c r="D7" i="2"/>
  <c r="E7" i="2"/>
  <c r="F7" i="2"/>
  <c r="E15" i="2"/>
  <c r="F15" i="2"/>
  <c r="D15" i="2"/>
  <c r="C17" i="2"/>
  <c r="F13" i="2"/>
  <c r="D13" i="2"/>
  <c r="E13" i="2"/>
  <c r="C8" i="2"/>
  <c r="K24" i="1"/>
  <c r="F14" i="2"/>
  <c r="D14" i="2"/>
  <c r="E14" i="2"/>
  <c r="M23" i="1"/>
  <c r="L23" i="1"/>
  <c r="N23" i="1"/>
  <c r="D17" i="2" l="1"/>
  <c r="F17" i="2"/>
  <c r="E17" i="2"/>
  <c r="M24" i="1"/>
  <c r="L24" i="1"/>
  <c r="N24" i="1"/>
  <c r="F8" i="2"/>
  <c r="D8" i="2"/>
  <c r="E8" i="2"/>
</calcChain>
</file>

<file path=xl/sharedStrings.xml><?xml version="1.0" encoding="utf-8"?>
<sst xmlns="http://schemas.openxmlformats.org/spreadsheetml/2006/main" count="64" uniqueCount="49">
  <si>
    <t>Estimación de esfuerzos por módulos o componentes</t>
  </si>
  <si>
    <t>Simple</t>
  </si>
  <si>
    <t>Muy fácil</t>
  </si>
  <si>
    <t>Fácil</t>
  </si>
  <si>
    <t>Normal</t>
  </si>
  <si>
    <t>Difícil</t>
  </si>
  <si>
    <t>Horas</t>
  </si>
  <si>
    <t>Total Esfuerzo</t>
  </si>
  <si>
    <t>&lt;Modulo&gt;</t>
  </si>
  <si>
    <t>Muy Dificil</t>
  </si>
  <si>
    <t>Agenda y Recursos</t>
  </si>
  <si>
    <t>Días</t>
  </si>
  <si>
    <t>Semanas</t>
  </si>
  <si>
    <t>Meses</t>
  </si>
  <si>
    <t>Total de esfuerzos</t>
  </si>
  <si>
    <t>semanas</t>
  </si>
  <si>
    <t>meses</t>
  </si>
  <si>
    <t>Tiempo/recursos</t>
  </si>
  <si>
    <t>Total</t>
  </si>
  <si>
    <t>Costo del proyecto</t>
  </si>
  <si>
    <t>Costo x Hora</t>
  </si>
  <si>
    <t>Conceptos/Recursos</t>
  </si>
  <si>
    <t>Desgloce de Proyecto</t>
  </si>
  <si>
    <t>Developer(50%)</t>
  </si>
  <si>
    <t>Costos Fijos(30%)</t>
  </si>
  <si>
    <t>Gastos Extra (10%)</t>
  </si>
  <si>
    <t>Ganancia (10%)</t>
  </si>
  <si>
    <t>Estimación de Costos de proyecto</t>
  </si>
  <si>
    <t>1 Día = 6 hrs</t>
  </si>
  <si>
    <t>1 Mes = 4 semanas</t>
  </si>
  <si>
    <t>1 Semana = 5 días</t>
  </si>
  <si>
    <t>1 Desarrollador</t>
  </si>
  <si>
    <t>2 Desarrolladores</t>
  </si>
  <si>
    <t>3 Desarrolladores</t>
  </si>
  <si>
    <t>4 Desarrolladores</t>
  </si>
  <si>
    <t>Clasificar productos por categoría</t>
  </si>
  <si>
    <t>Registro precio de compra y precio de venta</t>
  </si>
  <si>
    <t xml:space="preserve">Ingreso de productos </t>
  </si>
  <si>
    <t>Seguimiento de stock</t>
  </si>
  <si>
    <t xml:space="preserve">Historial y motivo del movimiento </t>
  </si>
  <si>
    <t xml:space="preserve">Alerta de reposición </t>
  </si>
  <si>
    <t>Alta de proveedores</t>
  </si>
  <si>
    <t>Registro de contacto y dirección</t>
  </si>
  <si>
    <t>Historial de compras por proveedor</t>
  </si>
  <si>
    <t>Compra de productos</t>
  </si>
  <si>
    <t>Reporte de productos bajo stock</t>
  </si>
  <si>
    <t>Generación de reportes (inventario)</t>
  </si>
  <si>
    <t>Calendario de inventarios por categoria</t>
  </si>
  <si>
    <t>Gestión y Control (por extinción)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</si>
</sst>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"/>
    <numFmt numFmtId="168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0" xfId="0" applyFill="1"/>
    <xf numFmtId="0" fontId="1" fillId="3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0" fillId="5" borderId="1" xfId="0" applyFill="1" applyBorder="1"/>
    <xf numFmtId="0" fontId="3" fillId="3" borderId="1" xfId="0" applyFont="1" applyFill="1" applyBorder="1"/>
    <xf numFmtId="0" fontId="4" fillId="0" borderId="1" xfId="0" applyFont="1" applyBorder="1"/>
    <xf numFmtId="164" fontId="3" fillId="6" borderId="0" xfId="0" applyNumberFormat="1" applyFont="1" applyFill="1"/>
    <xf numFmtId="0" fontId="0" fillId="2" borderId="1" xfId="0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opLeftCell="G1" zoomScale="90" zoomScaleNormal="90" workbookViewId="0">
      <selection activeCell="L31" sqref="L31"/>
    </sheetView>
  </sheetViews>
  <sheetFormatPr baseColWidth="10" defaultRowHeight="15" x14ac:dyDescent="0.25"/>
  <cols>
    <col min="1" max="1" width="56" customWidth="1"/>
    <col min="8" max="8" width="11.85546875" style="16" bestFit="1" customWidth="1"/>
    <col min="11" max="11" width="15.42578125" customWidth="1"/>
    <col min="12" max="12" width="17.140625" customWidth="1"/>
    <col min="13" max="13" width="18.28515625" customWidth="1"/>
    <col min="14" max="14" width="17.7109375" customWidth="1"/>
  </cols>
  <sheetData>
    <row r="1" spans="1:16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16" x14ac:dyDescent="0.25">
      <c r="A2" s="17"/>
      <c r="B2" s="17"/>
      <c r="C2" s="17"/>
      <c r="D2" s="17"/>
      <c r="E2" s="17"/>
      <c r="F2" s="17"/>
      <c r="G2" s="17"/>
      <c r="H2" s="17"/>
    </row>
    <row r="3" spans="1:16" x14ac:dyDescent="0.25">
      <c r="A3" s="2" t="s">
        <v>8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</v>
      </c>
      <c r="H3" s="13" t="s">
        <v>6</v>
      </c>
      <c r="J3" s="6"/>
      <c r="K3" s="6" t="s">
        <v>1</v>
      </c>
      <c r="L3" s="6" t="s">
        <v>2</v>
      </c>
      <c r="M3" s="6" t="s">
        <v>3</v>
      </c>
      <c r="N3" s="6" t="s">
        <v>4</v>
      </c>
      <c r="O3" s="6" t="s">
        <v>5</v>
      </c>
      <c r="P3" s="6" t="s">
        <v>9</v>
      </c>
    </row>
    <row r="4" spans="1:16" x14ac:dyDescent="0.25">
      <c r="A4" s="4" t="s">
        <v>37</v>
      </c>
      <c r="B4" s="22">
        <v>4</v>
      </c>
      <c r="C4" s="22"/>
      <c r="D4" s="22"/>
      <c r="E4" s="22"/>
      <c r="F4" s="22"/>
      <c r="G4" s="22"/>
      <c r="H4" s="14">
        <f>B4</f>
        <v>4</v>
      </c>
      <c r="J4" s="3" t="s">
        <v>6</v>
      </c>
      <c r="K4" s="3">
        <v>4</v>
      </c>
      <c r="L4" s="3">
        <v>8</v>
      </c>
      <c r="M4" s="3">
        <v>12</v>
      </c>
      <c r="N4" s="3">
        <v>16</v>
      </c>
      <c r="O4" s="3">
        <v>20</v>
      </c>
      <c r="P4" s="3">
        <v>24</v>
      </c>
    </row>
    <row r="5" spans="1:16" x14ac:dyDescent="0.25">
      <c r="A5" s="4" t="s">
        <v>35</v>
      </c>
      <c r="B5" s="22"/>
      <c r="C5" s="22">
        <v>8</v>
      </c>
      <c r="D5" s="22"/>
      <c r="E5" s="22"/>
      <c r="F5" s="22"/>
      <c r="G5" s="22"/>
      <c r="H5" s="14">
        <f>C5</f>
        <v>8</v>
      </c>
    </row>
    <row r="6" spans="1:16" x14ac:dyDescent="0.25">
      <c r="A6" s="4" t="s">
        <v>36</v>
      </c>
      <c r="B6" s="22"/>
      <c r="C6" s="22"/>
      <c r="D6" s="22">
        <v>12</v>
      </c>
      <c r="E6" s="22"/>
      <c r="F6" s="22"/>
      <c r="G6" s="22"/>
      <c r="H6" s="14">
        <f>D6</f>
        <v>12</v>
      </c>
      <c r="J6" s="18" t="s">
        <v>14</v>
      </c>
      <c r="K6" s="18"/>
      <c r="L6" s="12"/>
      <c r="M6" s="12"/>
    </row>
    <row r="7" spans="1:16" x14ac:dyDescent="0.25">
      <c r="A7" s="4" t="s">
        <v>38</v>
      </c>
      <c r="B7" s="22"/>
      <c r="C7" s="22"/>
      <c r="D7" s="22"/>
      <c r="E7" s="22">
        <v>16</v>
      </c>
      <c r="F7" s="22"/>
      <c r="G7" s="22"/>
      <c r="H7" s="14">
        <f>E7</f>
        <v>16</v>
      </c>
      <c r="J7" s="6" t="s">
        <v>6</v>
      </c>
      <c r="K7" s="6" t="s">
        <v>11</v>
      </c>
      <c r="L7" s="6" t="s">
        <v>15</v>
      </c>
      <c r="M7" s="6" t="s">
        <v>16</v>
      </c>
    </row>
    <row r="8" spans="1:16" x14ac:dyDescent="0.25">
      <c r="A8" s="4" t="s">
        <v>39</v>
      </c>
      <c r="B8" s="22"/>
      <c r="C8" s="22"/>
      <c r="D8" s="22"/>
      <c r="E8" s="22">
        <v>16</v>
      </c>
      <c r="F8" s="22"/>
      <c r="G8" s="22"/>
      <c r="H8" s="14">
        <f>E8</f>
        <v>16</v>
      </c>
      <c r="J8" s="7">
        <f>H18</f>
        <v>240</v>
      </c>
      <c r="K8" s="7">
        <f>J8/6</f>
        <v>40</v>
      </c>
      <c r="L8" s="24">
        <f>K8/5</f>
        <v>8</v>
      </c>
      <c r="M8" s="24">
        <f>L8/4</f>
        <v>2</v>
      </c>
    </row>
    <row r="9" spans="1:16" x14ac:dyDescent="0.25">
      <c r="A9" s="4" t="s">
        <v>40</v>
      </c>
      <c r="B9" s="22"/>
      <c r="C9" s="22"/>
      <c r="D9" s="22"/>
      <c r="E9" s="22"/>
      <c r="F9" s="22">
        <v>20</v>
      </c>
      <c r="G9" s="22"/>
      <c r="H9" s="14">
        <f>F9</f>
        <v>20</v>
      </c>
    </row>
    <row r="10" spans="1:16" x14ac:dyDescent="0.25">
      <c r="A10" s="4" t="s">
        <v>41</v>
      </c>
      <c r="B10" s="22"/>
      <c r="C10" s="22"/>
      <c r="D10" s="22"/>
      <c r="E10" s="22"/>
      <c r="F10" s="22">
        <v>20</v>
      </c>
      <c r="G10" s="22"/>
      <c r="H10" s="14">
        <f>F10</f>
        <v>20</v>
      </c>
    </row>
    <row r="11" spans="1:16" x14ac:dyDescent="0.25">
      <c r="A11" s="4" t="s">
        <v>42</v>
      </c>
      <c r="B11" s="22"/>
      <c r="C11" s="22"/>
      <c r="D11" s="22"/>
      <c r="E11" s="22"/>
      <c r="F11" s="22"/>
      <c r="G11" s="22">
        <v>24</v>
      </c>
      <c r="H11" s="14">
        <f>G11</f>
        <v>24</v>
      </c>
    </row>
    <row r="12" spans="1:16" x14ac:dyDescent="0.25">
      <c r="A12" s="4" t="s">
        <v>43</v>
      </c>
      <c r="B12" s="22"/>
      <c r="C12" s="22"/>
      <c r="D12" s="22"/>
      <c r="E12" s="22"/>
      <c r="F12" s="22"/>
      <c r="G12" s="22">
        <v>24</v>
      </c>
      <c r="H12" s="14">
        <f>G12</f>
        <v>24</v>
      </c>
    </row>
    <row r="13" spans="1:16" x14ac:dyDescent="0.25">
      <c r="A13" s="4" t="s">
        <v>44</v>
      </c>
      <c r="B13" s="22"/>
      <c r="C13" s="22"/>
      <c r="D13" s="22"/>
      <c r="E13" s="22">
        <v>16</v>
      </c>
      <c r="F13" s="22"/>
      <c r="G13" s="22"/>
      <c r="H13" s="14">
        <f>E13</f>
        <v>16</v>
      </c>
    </row>
    <row r="14" spans="1:16" x14ac:dyDescent="0.25">
      <c r="A14" s="4" t="s">
        <v>45</v>
      </c>
      <c r="B14" s="22"/>
      <c r="C14" s="22"/>
      <c r="D14" s="22"/>
      <c r="E14" s="22"/>
      <c r="F14" s="22">
        <v>20</v>
      </c>
      <c r="G14" s="22"/>
      <c r="H14" s="14">
        <f>F14</f>
        <v>20</v>
      </c>
    </row>
    <row r="15" spans="1:16" x14ac:dyDescent="0.25">
      <c r="A15" s="4" t="s">
        <v>46</v>
      </c>
      <c r="B15" s="22"/>
      <c r="C15" s="22"/>
      <c r="D15" s="22"/>
      <c r="E15" s="22">
        <v>16</v>
      </c>
      <c r="F15" s="22"/>
      <c r="G15" s="22"/>
      <c r="H15" s="14">
        <f>E15</f>
        <v>16</v>
      </c>
    </row>
    <row r="16" spans="1:16" x14ac:dyDescent="0.25">
      <c r="A16" s="4" t="s">
        <v>47</v>
      </c>
      <c r="B16" s="22"/>
      <c r="C16" s="22"/>
      <c r="D16" s="22"/>
      <c r="E16" s="22"/>
      <c r="F16" s="22"/>
      <c r="G16" s="22">
        <v>24</v>
      </c>
      <c r="H16" s="14">
        <f>G16</f>
        <v>24</v>
      </c>
      <c r="J16" t="s">
        <v>28</v>
      </c>
    </row>
    <row r="17" spans="1:14" x14ac:dyDescent="0.25">
      <c r="A17" s="4" t="s">
        <v>48</v>
      </c>
      <c r="B17" s="22"/>
      <c r="C17" s="22"/>
      <c r="D17" s="22"/>
      <c r="E17" s="22"/>
      <c r="F17" s="22">
        <v>20</v>
      </c>
      <c r="G17" s="22"/>
      <c r="H17" s="14">
        <f>F17</f>
        <v>20</v>
      </c>
      <c r="J17" t="s">
        <v>30</v>
      </c>
    </row>
    <row r="18" spans="1:14" x14ac:dyDescent="0.25">
      <c r="A18" s="4" t="s">
        <v>7</v>
      </c>
      <c r="B18" s="5"/>
      <c r="C18" s="5"/>
      <c r="D18" s="5"/>
      <c r="E18" s="5"/>
      <c r="F18" s="5"/>
      <c r="G18" s="5"/>
      <c r="H18" s="15">
        <f>SUM(H4:H17)</f>
        <v>240</v>
      </c>
      <c r="J18" t="s">
        <v>29</v>
      </c>
    </row>
    <row r="20" spans="1:14" x14ac:dyDescent="0.25">
      <c r="J20" s="18" t="s">
        <v>10</v>
      </c>
      <c r="K20" s="18"/>
    </row>
    <row r="21" spans="1:14" x14ac:dyDescent="0.25">
      <c r="J21" s="2" t="s">
        <v>6</v>
      </c>
      <c r="K21" s="2" t="s">
        <v>31</v>
      </c>
      <c r="L21" s="2" t="s">
        <v>32</v>
      </c>
      <c r="M21" s="2" t="s">
        <v>33</v>
      </c>
      <c r="N21" s="2" t="s">
        <v>34</v>
      </c>
    </row>
    <row r="22" spans="1:14" x14ac:dyDescent="0.25">
      <c r="J22" s="3" t="s">
        <v>11</v>
      </c>
      <c r="K22" s="3">
        <f>K$8/1</f>
        <v>40</v>
      </c>
      <c r="L22" s="3">
        <f>K22/2</f>
        <v>20</v>
      </c>
      <c r="M22" s="23">
        <f>K22/3</f>
        <v>13.333333333333334</v>
      </c>
      <c r="N22" s="3">
        <f>K22/4</f>
        <v>10</v>
      </c>
    </row>
    <row r="23" spans="1:14" x14ac:dyDescent="0.25">
      <c r="J23" s="3" t="s">
        <v>12</v>
      </c>
      <c r="K23" s="3">
        <f>L$8/1</f>
        <v>8</v>
      </c>
      <c r="L23" s="3">
        <f t="shared" ref="L23:L24" si="0">K23/2</f>
        <v>4</v>
      </c>
      <c r="M23" s="23">
        <f t="shared" ref="M23:M24" si="1">K23/3</f>
        <v>2.6666666666666665</v>
      </c>
      <c r="N23" s="3">
        <f t="shared" ref="N23:N24" si="2">K23/4</f>
        <v>2</v>
      </c>
    </row>
    <row r="24" spans="1:14" x14ac:dyDescent="0.25">
      <c r="J24" s="3" t="s">
        <v>13</v>
      </c>
      <c r="K24" s="3">
        <f>M$8/1</f>
        <v>2</v>
      </c>
      <c r="L24" s="3">
        <f t="shared" si="0"/>
        <v>1</v>
      </c>
      <c r="M24" s="23">
        <f t="shared" si="1"/>
        <v>0.66666666666666663</v>
      </c>
      <c r="N24" s="3">
        <f t="shared" si="2"/>
        <v>0.5</v>
      </c>
    </row>
  </sheetData>
  <mergeCells count="3">
    <mergeCell ref="A1:H2"/>
    <mergeCell ref="J6:K6"/>
    <mergeCell ref="J20:K20"/>
  </mergeCells>
  <pageMargins left="0.7" right="0.7" top="0.75" bottom="0.75" header="0.3" footer="0.3"/>
  <pageSetup orientation="portrait" r:id="rId1"/>
  <ignoredErrors>
    <ignoredError sqref="H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7"/>
  <sheetViews>
    <sheetView tabSelected="1" zoomScaleNormal="100" workbookViewId="0">
      <selection activeCell="F23" sqref="F23"/>
    </sheetView>
  </sheetViews>
  <sheetFormatPr baseColWidth="10" defaultRowHeight="15" x14ac:dyDescent="0.25"/>
  <cols>
    <col min="2" max="2" width="21.42578125" customWidth="1"/>
    <col min="9" max="9" width="24.85546875" bestFit="1" customWidth="1"/>
  </cols>
  <sheetData>
    <row r="1" spans="2:9" x14ac:dyDescent="0.25">
      <c r="B1" s="20" t="s">
        <v>27</v>
      </c>
      <c r="C1" s="20"/>
      <c r="D1" s="20"/>
      <c r="E1" s="20"/>
      <c r="F1" s="20"/>
    </row>
    <row r="2" spans="2:9" x14ac:dyDescent="0.25">
      <c r="B2" s="21"/>
      <c r="C2" s="21"/>
      <c r="D2" s="21"/>
      <c r="E2" s="21"/>
      <c r="F2" s="21"/>
      <c r="H2" s="1" t="s">
        <v>20</v>
      </c>
      <c r="I2" s="8">
        <v>350</v>
      </c>
    </row>
    <row r="3" spans="2:9" x14ac:dyDescent="0.25">
      <c r="B3" s="19" t="s">
        <v>19</v>
      </c>
      <c r="C3" s="19"/>
      <c r="D3" s="19"/>
      <c r="E3" s="19"/>
      <c r="F3" s="19"/>
    </row>
    <row r="4" spans="2:9" x14ac:dyDescent="0.25">
      <c r="B4" s="6" t="s">
        <v>17</v>
      </c>
      <c r="C4" s="6">
        <v>1</v>
      </c>
      <c r="D4" s="6">
        <v>2</v>
      </c>
      <c r="E4" s="6">
        <v>3</v>
      </c>
      <c r="F4" s="6">
        <v>4</v>
      </c>
    </row>
    <row r="5" spans="2:9" x14ac:dyDescent="0.25">
      <c r="B5" s="9" t="s">
        <v>6</v>
      </c>
      <c r="C5" s="3">
        <f>Estimación!J8</f>
        <v>240</v>
      </c>
      <c r="D5" s="3">
        <f>C5/2</f>
        <v>120</v>
      </c>
      <c r="E5" s="3">
        <f>C5/3</f>
        <v>80</v>
      </c>
      <c r="F5" s="3">
        <f>C5/4</f>
        <v>60</v>
      </c>
    </row>
    <row r="6" spans="2:9" x14ac:dyDescent="0.25">
      <c r="B6" s="9" t="s">
        <v>11</v>
      </c>
      <c r="C6" s="3">
        <f>Estimación!K8</f>
        <v>40</v>
      </c>
      <c r="D6" s="3">
        <f t="shared" ref="D6:D8" si="0">C6/2</f>
        <v>20</v>
      </c>
      <c r="E6" s="3">
        <f t="shared" ref="E6:E8" si="1">C6/3</f>
        <v>13.333333333333334</v>
      </c>
      <c r="F6" s="3">
        <f t="shared" ref="F6:F8" si="2">C6/4</f>
        <v>10</v>
      </c>
    </row>
    <row r="7" spans="2:9" x14ac:dyDescent="0.25">
      <c r="B7" s="9" t="s">
        <v>12</v>
      </c>
      <c r="C7" s="3">
        <f>Estimación!L8</f>
        <v>8</v>
      </c>
      <c r="D7" s="3">
        <f t="shared" si="0"/>
        <v>4</v>
      </c>
      <c r="E7" s="3">
        <f t="shared" si="1"/>
        <v>2.6666666666666665</v>
      </c>
      <c r="F7" s="3">
        <f t="shared" si="2"/>
        <v>2</v>
      </c>
    </row>
    <row r="8" spans="2:9" x14ac:dyDescent="0.25">
      <c r="B8" s="9" t="s">
        <v>13</v>
      </c>
      <c r="C8" s="3">
        <f>Estimación!M8</f>
        <v>2</v>
      </c>
      <c r="D8" s="3">
        <f t="shared" si="0"/>
        <v>1</v>
      </c>
      <c r="E8" s="3">
        <f t="shared" si="1"/>
        <v>0.66666666666666663</v>
      </c>
      <c r="F8" s="3">
        <f t="shared" si="2"/>
        <v>0.5</v>
      </c>
    </row>
    <row r="9" spans="2:9" x14ac:dyDescent="0.25">
      <c r="B9" s="5" t="s">
        <v>18</v>
      </c>
      <c r="C9" s="10">
        <f>C5*$I$2</f>
        <v>84000</v>
      </c>
      <c r="D9" s="10">
        <f t="shared" ref="D9:F9" si="3">D5*$I$2</f>
        <v>42000</v>
      </c>
      <c r="E9" s="10">
        <f t="shared" si="3"/>
        <v>28000</v>
      </c>
      <c r="F9" s="10">
        <f t="shared" si="3"/>
        <v>21000</v>
      </c>
    </row>
    <row r="11" spans="2:9" x14ac:dyDescent="0.25">
      <c r="B11" s="19" t="s">
        <v>22</v>
      </c>
      <c r="C11" s="19"/>
      <c r="D11" s="19"/>
      <c r="E11" s="19"/>
      <c r="F11" s="19"/>
    </row>
    <row r="12" spans="2:9" x14ac:dyDescent="0.25">
      <c r="B12" s="6" t="s">
        <v>21</v>
      </c>
      <c r="C12" s="6">
        <v>1</v>
      </c>
      <c r="D12" s="6">
        <v>2</v>
      </c>
      <c r="E12" s="6">
        <v>3</v>
      </c>
      <c r="F12" s="6">
        <v>4</v>
      </c>
    </row>
    <row r="13" spans="2:9" x14ac:dyDescent="0.25">
      <c r="B13" s="9" t="s">
        <v>23</v>
      </c>
      <c r="C13" s="11">
        <f>(C9*50)/100</f>
        <v>42000</v>
      </c>
      <c r="D13" s="11">
        <f>C13/2</f>
        <v>21000</v>
      </c>
      <c r="E13" s="11">
        <f>C13/3</f>
        <v>14000</v>
      </c>
      <c r="F13" s="11">
        <f>C13/4</f>
        <v>10500</v>
      </c>
    </row>
    <row r="14" spans="2:9" x14ac:dyDescent="0.25">
      <c r="B14" s="9" t="s">
        <v>24</v>
      </c>
      <c r="C14" s="11">
        <f>(C9*30)/100</f>
        <v>25200</v>
      </c>
      <c r="D14" s="11">
        <f t="shared" ref="D14:D16" si="4">C14/2</f>
        <v>12600</v>
      </c>
      <c r="E14" s="11">
        <f t="shared" ref="E14:E16" si="5">C14/3</f>
        <v>8400</v>
      </c>
      <c r="F14" s="11">
        <f t="shared" ref="F14:F16" si="6">C14/4</f>
        <v>6300</v>
      </c>
    </row>
    <row r="15" spans="2:9" x14ac:dyDescent="0.25">
      <c r="B15" s="9" t="s">
        <v>25</v>
      </c>
      <c r="C15" s="11">
        <f>(C9*10)/100</f>
        <v>8400</v>
      </c>
      <c r="D15" s="11">
        <f t="shared" si="4"/>
        <v>4200</v>
      </c>
      <c r="E15" s="11">
        <f t="shared" si="5"/>
        <v>2800</v>
      </c>
      <c r="F15" s="11">
        <f t="shared" si="6"/>
        <v>2100</v>
      </c>
    </row>
    <row r="16" spans="2:9" x14ac:dyDescent="0.25">
      <c r="B16" s="9" t="s">
        <v>26</v>
      </c>
      <c r="C16" s="11">
        <f>(C9*10)/100</f>
        <v>8400</v>
      </c>
      <c r="D16" s="11">
        <f t="shared" si="4"/>
        <v>4200</v>
      </c>
      <c r="E16" s="11">
        <f t="shared" si="5"/>
        <v>2800</v>
      </c>
      <c r="F16" s="11">
        <f t="shared" si="6"/>
        <v>2100</v>
      </c>
    </row>
    <row r="17" spans="2:6" x14ac:dyDescent="0.25">
      <c r="B17" s="5" t="s">
        <v>18</v>
      </c>
      <c r="C17" s="10">
        <f>SUM(C13:C16)</f>
        <v>84000</v>
      </c>
      <c r="D17" s="10">
        <f t="shared" ref="D17:F17" si="7">SUM(D13:D16)</f>
        <v>42000</v>
      </c>
      <c r="E17" s="10">
        <f t="shared" si="7"/>
        <v>28000</v>
      </c>
      <c r="F17" s="10">
        <f t="shared" si="7"/>
        <v>21000</v>
      </c>
    </row>
  </sheetData>
  <mergeCells count="3">
    <mergeCell ref="B3:F3"/>
    <mergeCell ref="B11:F11"/>
    <mergeCell ref="B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 Tech</dc:creator>
  <cp:lastModifiedBy>IDS</cp:lastModifiedBy>
  <dcterms:created xsi:type="dcterms:W3CDTF">2021-11-08T21:40:05Z</dcterms:created>
  <dcterms:modified xsi:type="dcterms:W3CDTF">2026-02-21T17:11:53Z</dcterms:modified>
</cp:coreProperties>
</file>